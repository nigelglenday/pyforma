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onpie/Library/CloudStorage/Dropbox/Models/Operating Model/"/>
    </mc:Choice>
  </mc:AlternateContent>
  <xr:revisionPtr revIDLastSave="0" documentId="13_ncr:1_{44EF32CD-7FD1-CE49-927C-B15696382569}" xr6:coauthVersionLast="47" xr6:coauthVersionMax="47" xr10:uidLastSave="{00000000-0000-0000-0000-000000000000}"/>
  <bookViews>
    <workbookView xWindow="0" yWindow="500" windowWidth="21040" windowHeight="28300" xr2:uid="{00000000-000D-0000-FFFF-FFFF00000000}"/>
  </bookViews>
  <sheets>
    <sheet name="model" sheetId="1" r:id="rId1"/>
    <sheet name="loan" sheetId="5" r:id="rId2"/>
    <sheet name="pres output" sheetId="2" r:id="rId3"/>
    <sheet name="chart output" sheetId="4" r:id="rId4"/>
  </sheets>
  <externalReferences>
    <externalReference r:id="rId5"/>
  </externalReferences>
  <definedNames>
    <definedName name="__FDS_HYPERLINK_TOGGLE_STATE__" hidden="1">"ON"</definedName>
    <definedName name="AUD" localSheetId="3">#REF!</definedName>
    <definedName name="AUD" localSheetId="1">#REF!</definedName>
    <definedName name="AUD">#REF!</definedName>
    <definedName name="CAD" localSheetId="3">#REF!</definedName>
    <definedName name="CAD" localSheetId="1">#REF!</definedName>
    <definedName name="CAD">#REF!</definedName>
    <definedName name="Capital_raise">[1]inputs!$K$6</definedName>
    <definedName name="CIQWBGuid" hidden="1">"DNB_ISB MM v1.xlsx"</definedName>
    <definedName name="col" localSheetId="3">#REF!</definedName>
    <definedName name="col" localSheetId="1">#REF!</definedName>
    <definedName name="col">#REF!</definedName>
    <definedName name="ddd" localSheetId="3">Word</definedName>
    <definedName name="ddd" localSheetId="1">Word</definedName>
    <definedName name="ddd">Word</definedName>
    <definedName name="dealprice" localSheetId="3">#REF!</definedName>
    <definedName name="dealprice" localSheetId="1">#REF!</definedName>
    <definedName name="dealprice">#REF!</definedName>
    <definedName name="DocType" localSheetId="3">Word</definedName>
    <definedName name="DocType" localSheetId="1">Word</definedName>
    <definedName name="DocType">Word</definedName>
    <definedName name="EUR" localSheetId="3">#REF!</definedName>
    <definedName name="EUR" localSheetId="1">#REF!</definedName>
    <definedName name="EUR">#REF!</definedName>
    <definedName name="fff" localSheetId="3">Word</definedName>
    <definedName name="fff" localSheetId="1">Word</definedName>
    <definedName name="fff">Word</definedName>
    <definedName name="GBP" localSheetId="3">#REF!</definedName>
    <definedName name="GBP" localSheetId="1">#REF!</definedName>
    <definedName name="GBP">#REF!</definedName>
    <definedName name="gg" localSheetId="3">Word</definedName>
    <definedName name="gg" localSheetId="1">Word</definedName>
    <definedName name="gg">Word</definedName>
    <definedName name="HKD" localSheetId="3">#REF!</definedName>
    <definedName name="HKD" localSheetId="1">#REF!</definedName>
    <definedName name="HKD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41173.5604861111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MonitorCol">1</definedName>
    <definedName name="MonitorRow">1</definedName>
    <definedName name="MonthNames">{"Jan","Feb","Mar","Apr","May","Jun","Jul","Aug","Sep","Oct","Nov","Dec";"January","February","March","April","May","June","July","August","September","October","November","December"}</definedName>
    <definedName name="pbFileName">MID(CELL("filename"),FIND("[",CELL("FILENAME"))+1,(FIND("]",CELL("FILENAME"))) - (FIND("[",CELL("FILENAME"))+1))</definedName>
    <definedName name="pbPrinterFormat">"\\SGB24831\P0047496 on Ne05:"</definedName>
    <definedName name="pbStartPageNumber">1</definedName>
    <definedName name="pbUpdatePageNumbering">TRUE</definedName>
    <definedName name="_xlnm.Print_Area" localSheetId="1">loan!$A$5:$Q$486</definedName>
    <definedName name="_xlnm.Print_Area" localSheetId="0">model!$A$5:$Q$392</definedName>
    <definedName name="_xlnm.Print_Titles" localSheetId="1">loan!$1:$2</definedName>
    <definedName name="_xlnm.Print_Titles" localSheetId="0">model!$1:$2</definedName>
    <definedName name="row" localSheetId="3">#REF!</definedName>
    <definedName name="row" localSheetId="1">#REF!</definedName>
    <definedName name="row">#REF!</definedName>
    <definedName name="SEK" localSheetId="3">#REF!</definedName>
    <definedName name="SEK" localSheetId="1">#REF!</definedName>
    <definedName name="SEK">#REF!</definedName>
    <definedName name="SGD" localSheetId="3">#REF!</definedName>
    <definedName name="SGD" localSheetId="1">#REF!</definedName>
    <definedName name="SGD">#REF!</definedName>
    <definedName name="ticker" localSheetId="3">#REF!</definedName>
    <definedName name="ticker" localSheetId="1">#REF!</definedName>
    <definedName name="ticker">#REF!</definedName>
    <definedName name="TickerCell" localSheetId="3">#REF!</definedName>
    <definedName name="TickerCell" localSheetId="1">#REF!</definedName>
    <definedName name="TickerCell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5" l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E28" i="5"/>
  <c r="F6" i="5"/>
  <c r="G6" i="5"/>
  <c r="H6" i="5"/>
  <c r="I6" i="5"/>
  <c r="J6" i="5"/>
  <c r="K6" i="5"/>
  <c r="L6" i="5"/>
  <c r="M6" i="5"/>
  <c r="N6" i="5"/>
  <c r="O6" i="5"/>
  <c r="P6" i="5"/>
  <c r="E6" i="5"/>
  <c r="C80" i="5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29" i="5"/>
  <c r="C30" i="5" s="1"/>
  <c r="E11" i="5"/>
  <c r="C12" i="5"/>
  <c r="C13" i="5" s="1"/>
  <c r="F9" i="4"/>
  <c r="F7" i="4"/>
  <c r="E45" i="5" l="1"/>
  <c r="F29" i="5"/>
  <c r="H31" i="5"/>
  <c r="J33" i="5"/>
  <c r="L35" i="5"/>
  <c r="N37" i="5"/>
  <c r="P39" i="5"/>
  <c r="G30" i="5"/>
  <c r="I32" i="5"/>
  <c r="K34" i="5"/>
  <c r="M36" i="5"/>
  <c r="O38" i="5"/>
  <c r="B62" i="5" a="1"/>
  <c r="B73" i="5" s="1"/>
  <c r="B79" i="5" a="1"/>
  <c r="B89" i="5" s="1"/>
  <c r="B11" i="5" a="1"/>
  <c r="B22" i="5" s="1"/>
  <c r="G13" i="5"/>
  <c r="G47" i="5" s="1"/>
  <c r="B28" i="5" a="1"/>
  <c r="B38" i="5" s="1"/>
  <c r="B45" i="5" a="1"/>
  <c r="B45" i="5" s="1"/>
  <c r="F12" i="5"/>
  <c r="E40" i="5"/>
  <c r="C31" i="5"/>
  <c r="E23" i="5"/>
  <c r="C14" i="5"/>
  <c r="G6" i="4"/>
  <c r="F6" i="4" s="1"/>
  <c r="E6" i="4" s="1"/>
  <c r="C381" i="1"/>
  <c r="F173" i="1"/>
  <c r="J205" i="1"/>
  <c r="J206" i="1" s="1"/>
  <c r="P201" i="1" s="1"/>
  <c r="J200" i="1"/>
  <c r="O194" i="1"/>
  <c r="O202" i="1"/>
  <c r="O197" i="1"/>
  <c r="D6" i="2"/>
  <c r="E6" i="2" s="1"/>
  <c r="F6" i="2" s="1"/>
  <c r="G6" i="2" s="1"/>
  <c r="H6" i="2" s="1"/>
  <c r="B70" i="5" l="1"/>
  <c r="B51" i="5"/>
  <c r="B16" i="5"/>
  <c r="B90" i="5"/>
  <c r="B53" i="5"/>
  <c r="B12" i="5"/>
  <c r="B64" i="5"/>
  <c r="B84" i="5"/>
  <c r="B67" i="5"/>
  <c r="B54" i="5"/>
  <c r="B47" i="5"/>
  <c r="B63" i="5"/>
  <c r="B81" i="5"/>
  <c r="B68" i="5"/>
  <c r="B88" i="5"/>
  <c r="B55" i="5"/>
  <c r="B19" i="5"/>
  <c r="B66" i="5"/>
  <c r="B86" i="5"/>
  <c r="B46" i="5"/>
  <c r="B15" i="5"/>
  <c r="B48" i="5"/>
  <c r="B11" i="5"/>
  <c r="B71" i="5"/>
  <c r="B62" i="5"/>
  <c r="B82" i="5"/>
  <c r="B50" i="5"/>
  <c r="B69" i="5"/>
  <c r="B87" i="5"/>
  <c r="B80" i="5"/>
  <c r="B52" i="5"/>
  <c r="B85" i="5"/>
  <c r="B65" i="5"/>
  <c r="B83" i="5"/>
  <c r="B56" i="5"/>
  <c r="B49" i="5"/>
  <c r="B20" i="5"/>
  <c r="B72" i="5"/>
  <c r="B79" i="5"/>
  <c r="H30" i="5"/>
  <c r="H13" i="5" s="1"/>
  <c r="H47" i="5" s="1"/>
  <c r="G64" i="5"/>
  <c r="G81" i="5" s="1"/>
  <c r="E62" i="5"/>
  <c r="E79" i="5" s="1"/>
  <c r="F28" i="5"/>
  <c r="F11" i="5" s="1"/>
  <c r="B34" i="5"/>
  <c r="B30" i="5"/>
  <c r="B39" i="5"/>
  <c r="B35" i="5"/>
  <c r="B31" i="5"/>
  <c r="B18" i="5"/>
  <c r="B14" i="5"/>
  <c r="B21" i="5"/>
  <c r="B17" i="5"/>
  <c r="B13" i="5"/>
  <c r="B36" i="5"/>
  <c r="B32" i="5"/>
  <c r="B28" i="5"/>
  <c r="B37" i="5"/>
  <c r="B33" i="5"/>
  <c r="B29" i="5"/>
  <c r="H14" i="5"/>
  <c r="H48" i="5" s="1"/>
  <c r="H65" i="5" s="1"/>
  <c r="H82" i="5" s="1"/>
  <c r="C32" i="5"/>
  <c r="C15" i="5"/>
  <c r="D7" i="4"/>
  <c r="E7" i="4" s="1"/>
  <c r="E10" i="4"/>
  <c r="E8" i="4"/>
  <c r="D9" i="4" s="1"/>
  <c r="E9" i="4" s="1"/>
  <c r="O203" i="1"/>
  <c r="E94" i="1"/>
  <c r="F39" i="1"/>
  <c r="P347" i="1"/>
  <c r="K385" i="1"/>
  <c r="K375" i="1"/>
  <c r="E364" i="1"/>
  <c r="E362" i="1"/>
  <c r="F361" i="1"/>
  <c r="G361" i="1"/>
  <c r="H361" i="1"/>
  <c r="I361" i="1"/>
  <c r="J361" i="1"/>
  <c r="K361" i="1"/>
  <c r="L361" i="1"/>
  <c r="M361" i="1"/>
  <c r="N361" i="1"/>
  <c r="O361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E193" i="1"/>
  <c r="I31" i="5" l="1"/>
  <c r="I14" i="5" s="1"/>
  <c r="I48" i="5" s="1"/>
  <c r="J31" i="5" s="1"/>
  <c r="J14" i="5" s="1"/>
  <c r="J48" i="5" s="1"/>
  <c r="E74" i="5"/>
  <c r="E91" i="5"/>
  <c r="I30" i="5"/>
  <c r="I13" i="5" s="1"/>
  <c r="I47" i="5" s="1"/>
  <c r="H64" i="5"/>
  <c r="H81" i="5" s="1"/>
  <c r="I65" i="5"/>
  <c r="I82" i="5" s="1"/>
  <c r="I15" i="5"/>
  <c r="I49" i="5" s="1"/>
  <c r="C33" i="5"/>
  <c r="C16" i="5"/>
  <c r="F293" i="1"/>
  <c r="F304" i="1"/>
  <c r="F283" i="1"/>
  <c r="F288" i="1"/>
  <c r="F258" i="1"/>
  <c r="G258" i="1" s="1"/>
  <c r="F299" i="1"/>
  <c r="E211" i="1"/>
  <c r="F211" i="1" s="1"/>
  <c r="G211" i="1" s="1"/>
  <c r="H211" i="1" s="1"/>
  <c r="I211" i="1" s="1"/>
  <c r="J211" i="1" s="1"/>
  <c r="K211" i="1" s="1"/>
  <c r="L211" i="1" s="1"/>
  <c r="M211" i="1" s="1"/>
  <c r="N211" i="1" s="1"/>
  <c r="O211" i="1" s="1"/>
  <c r="P211" i="1" s="1"/>
  <c r="G239" i="1" s="1"/>
  <c r="P203" i="1"/>
  <c r="J201" i="1"/>
  <c r="O204" i="1"/>
  <c r="F272" i="1"/>
  <c r="F263" i="1"/>
  <c r="G263" i="1" s="1"/>
  <c r="F276" i="1"/>
  <c r="P196" i="1"/>
  <c r="Q196" i="1" s="1"/>
  <c r="P202" i="1"/>
  <c r="Q201" i="1"/>
  <c r="Q200" i="1"/>
  <c r="Q199" i="1"/>
  <c r="Q193" i="1"/>
  <c r="Q194" i="1"/>
  <c r="E195" i="1"/>
  <c r="J199" i="1" s="1"/>
  <c r="E197" i="1"/>
  <c r="N202" i="1"/>
  <c r="N204" i="1" s="1"/>
  <c r="N197" i="1"/>
  <c r="E385" i="1"/>
  <c r="E375" i="1"/>
  <c r="F399" i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F398" i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E118" i="1"/>
  <c r="E67" i="1"/>
  <c r="E8" i="1"/>
  <c r="E334" i="1"/>
  <c r="G173" i="1"/>
  <c r="P334" i="1"/>
  <c r="O334" i="1"/>
  <c r="O365" i="1" s="1"/>
  <c r="N334" i="1"/>
  <c r="N365" i="1" s="1"/>
  <c r="M334" i="1"/>
  <c r="M365" i="1" s="1"/>
  <c r="L334" i="1"/>
  <c r="L365" i="1" s="1"/>
  <c r="K334" i="1"/>
  <c r="K365" i="1" s="1"/>
  <c r="J334" i="1"/>
  <c r="I334" i="1"/>
  <c r="I365" i="1" s="1"/>
  <c r="H334" i="1"/>
  <c r="H365" i="1" s="1"/>
  <c r="G334" i="1"/>
  <c r="G365" i="1" s="1"/>
  <c r="F334" i="1"/>
  <c r="F365" i="1" s="1"/>
  <c r="P118" i="1"/>
  <c r="O118" i="1"/>
  <c r="N118" i="1"/>
  <c r="M118" i="1"/>
  <c r="L118" i="1"/>
  <c r="K118" i="1"/>
  <c r="J118" i="1"/>
  <c r="I118" i="1"/>
  <c r="H118" i="1"/>
  <c r="G118" i="1"/>
  <c r="F118" i="1"/>
  <c r="E32" i="1"/>
  <c r="G31" i="1"/>
  <c r="H31" i="1" s="1"/>
  <c r="I31" i="1" s="1"/>
  <c r="E27" i="1"/>
  <c r="G26" i="1"/>
  <c r="E137" i="1"/>
  <c r="E134" i="1"/>
  <c r="E133" i="1"/>
  <c r="E52" i="1"/>
  <c r="E154" i="1"/>
  <c r="G129" i="1"/>
  <c r="H129" i="1" s="1"/>
  <c r="I129" i="1" s="1"/>
  <c r="J129" i="1" s="1"/>
  <c r="K129" i="1" s="1"/>
  <c r="L129" i="1" s="1"/>
  <c r="M129" i="1" s="1"/>
  <c r="N129" i="1" s="1"/>
  <c r="O129" i="1" s="1"/>
  <c r="P129" i="1" s="1"/>
  <c r="F109" i="1"/>
  <c r="E106" i="1"/>
  <c r="F105" i="1"/>
  <c r="G51" i="1"/>
  <c r="G62" i="1"/>
  <c r="H62" i="1" s="1"/>
  <c r="I62" i="1" s="1"/>
  <c r="J62" i="1" s="1"/>
  <c r="K62" i="1" s="1"/>
  <c r="L62" i="1" s="1"/>
  <c r="M62" i="1" s="1"/>
  <c r="N62" i="1" s="1"/>
  <c r="O62" i="1" s="1"/>
  <c r="P62" i="1" s="1"/>
  <c r="G60" i="1"/>
  <c r="H60" i="1" s="1"/>
  <c r="I60" i="1" s="1"/>
  <c r="J60" i="1" s="1"/>
  <c r="K60" i="1" s="1"/>
  <c r="L60" i="1" s="1"/>
  <c r="M60" i="1" s="1"/>
  <c r="N60" i="1" s="1"/>
  <c r="O60" i="1" s="1"/>
  <c r="P60" i="1" s="1"/>
  <c r="G61" i="1"/>
  <c r="H61" i="1" s="1"/>
  <c r="I61" i="1" s="1"/>
  <c r="J61" i="1" s="1"/>
  <c r="K61" i="1" s="1"/>
  <c r="L61" i="1" s="1"/>
  <c r="M61" i="1" s="1"/>
  <c r="N61" i="1" s="1"/>
  <c r="O61" i="1" s="1"/>
  <c r="P61" i="1" s="1"/>
  <c r="G46" i="1"/>
  <c r="H46" i="1" s="1"/>
  <c r="I46" i="1" s="1"/>
  <c r="J46" i="1" s="1"/>
  <c r="K46" i="1" s="1"/>
  <c r="L46" i="1" s="1"/>
  <c r="M46" i="1" s="1"/>
  <c r="N46" i="1" s="1"/>
  <c r="O46" i="1" s="1"/>
  <c r="P46" i="1" s="1"/>
  <c r="E47" i="1"/>
  <c r="F47" i="1" s="1"/>
  <c r="G45" i="1"/>
  <c r="H45" i="1" s="1"/>
  <c r="I45" i="1" s="1"/>
  <c r="J45" i="1" s="1"/>
  <c r="K45" i="1" s="1"/>
  <c r="L45" i="1" s="1"/>
  <c r="M45" i="1" s="1"/>
  <c r="N45" i="1" s="1"/>
  <c r="O45" i="1" s="1"/>
  <c r="P45" i="1" s="1"/>
  <c r="F90" i="1"/>
  <c r="G25" i="1"/>
  <c r="H25" i="1" s="1"/>
  <c r="I25" i="1" s="1"/>
  <c r="J25" i="1" s="1"/>
  <c r="K25" i="1" s="1"/>
  <c r="L25" i="1" s="1"/>
  <c r="M25" i="1" s="1"/>
  <c r="N25" i="1" s="1"/>
  <c r="O25" i="1" s="1"/>
  <c r="P25" i="1" s="1"/>
  <c r="F99" i="1"/>
  <c r="F98" i="1"/>
  <c r="F97" i="1"/>
  <c r="G97" i="1" s="1"/>
  <c r="H97" i="1" s="1"/>
  <c r="I97" i="1" s="1"/>
  <c r="J97" i="1" s="1"/>
  <c r="K97" i="1" s="1"/>
  <c r="L97" i="1" s="1"/>
  <c r="M97" i="1" s="1"/>
  <c r="N97" i="1" s="1"/>
  <c r="O97" i="1" s="1"/>
  <c r="P97" i="1" s="1"/>
  <c r="G57" i="1"/>
  <c r="H57" i="1" s="1"/>
  <c r="I57" i="1" s="1"/>
  <c r="J57" i="1" s="1"/>
  <c r="K57" i="1" s="1"/>
  <c r="L57" i="1" s="1"/>
  <c r="M57" i="1" s="1"/>
  <c r="N57" i="1" s="1"/>
  <c r="O57" i="1" s="1"/>
  <c r="P57" i="1" s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F95" i="1"/>
  <c r="P67" i="1"/>
  <c r="O67" i="1"/>
  <c r="N67" i="1"/>
  <c r="M67" i="1"/>
  <c r="L67" i="1"/>
  <c r="K67" i="1"/>
  <c r="J67" i="1"/>
  <c r="I67" i="1"/>
  <c r="H67" i="1"/>
  <c r="G67" i="1"/>
  <c r="F67" i="1"/>
  <c r="J32" i="5" l="1"/>
  <c r="I66" i="5"/>
  <c r="I83" i="5" s="1"/>
  <c r="J15" i="5"/>
  <c r="J49" i="5" s="1"/>
  <c r="K32" i="5" s="1"/>
  <c r="K15" i="5" s="1"/>
  <c r="K49" i="5" s="1"/>
  <c r="L32" i="5" s="1"/>
  <c r="L15" i="5" s="1"/>
  <c r="L49" i="5" s="1"/>
  <c r="L66" i="5" s="1"/>
  <c r="L83" i="5" s="1"/>
  <c r="K31" i="5"/>
  <c r="K14" i="5" s="1"/>
  <c r="K48" i="5" s="1"/>
  <c r="K65" i="5" s="1"/>
  <c r="K82" i="5" s="1"/>
  <c r="J30" i="5"/>
  <c r="J13" i="5" s="1"/>
  <c r="J47" i="5" s="1"/>
  <c r="J64" i="5" s="1"/>
  <c r="J81" i="5" s="1"/>
  <c r="J65" i="5"/>
  <c r="J82" i="5" s="1"/>
  <c r="K66" i="5"/>
  <c r="K83" i="5" s="1"/>
  <c r="I64" i="5"/>
  <c r="I81" i="5" s="1"/>
  <c r="J16" i="5"/>
  <c r="J50" i="5" s="1"/>
  <c r="C34" i="5"/>
  <c r="C17" i="5"/>
  <c r="G244" i="1"/>
  <c r="P246" i="1"/>
  <c r="L246" i="1"/>
  <c r="G304" i="1"/>
  <c r="H304" i="1" s="1"/>
  <c r="I304" i="1" s="1"/>
  <c r="J304" i="1" s="1"/>
  <c r="K304" i="1" s="1"/>
  <c r="L304" i="1" s="1"/>
  <c r="M304" i="1" s="1"/>
  <c r="N304" i="1" s="1"/>
  <c r="O304" i="1" s="1"/>
  <c r="P304" i="1" s="1"/>
  <c r="N246" i="1"/>
  <c r="J246" i="1"/>
  <c r="K246" i="1"/>
  <c r="G288" i="1"/>
  <c r="H288" i="1" s="1"/>
  <c r="I288" i="1" s="1"/>
  <c r="J288" i="1" s="1"/>
  <c r="K288" i="1" s="1"/>
  <c r="L288" i="1" s="1"/>
  <c r="M288" i="1" s="1"/>
  <c r="N288" i="1" s="1"/>
  <c r="O288" i="1" s="1"/>
  <c r="P288" i="1" s="1"/>
  <c r="F133" i="1"/>
  <c r="J202" i="1"/>
  <c r="J204" i="1" s="1"/>
  <c r="P195" i="1" s="1"/>
  <c r="Q195" i="1" s="1"/>
  <c r="G276" i="1" s="1"/>
  <c r="F246" i="1"/>
  <c r="F234" i="1"/>
  <c r="G246" i="1"/>
  <c r="G251" i="1"/>
  <c r="G343" i="1" s="1"/>
  <c r="F244" i="1"/>
  <c r="F245" i="1"/>
  <c r="M246" i="1"/>
  <c r="O246" i="1"/>
  <c r="N207" i="1"/>
  <c r="N206" i="1"/>
  <c r="G245" i="1"/>
  <c r="F251" i="1"/>
  <c r="F343" i="1" s="1"/>
  <c r="F239" i="1"/>
  <c r="G234" i="1"/>
  <c r="P362" i="1"/>
  <c r="P364" i="1"/>
  <c r="P361" i="1"/>
  <c r="P363" i="1"/>
  <c r="P365" i="1"/>
  <c r="F375" i="1"/>
  <c r="L375" i="1"/>
  <c r="F385" i="1"/>
  <c r="L385" i="1"/>
  <c r="G355" i="1"/>
  <c r="G364" i="1" s="1"/>
  <c r="I355" i="1"/>
  <c r="I364" i="1" s="1"/>
  <c r="K363" i="1"/>
  <c r="M354" i="1"/>
  <c r="M362" i="1" s="1"/>
  <c r="M363" i="1"/>
  <c r="O355" i="1"/>
  <c r="O364" i="1" s="1"/>
  <c r="O363" i="1"/>
  <c r="F355" i="1"/>
  <c r="F364" i="1" s="1"/>
  <c r="H355" i="1"/>
  <c r="H364" i="1" s="1"/>
  <c r="L355" i="1"/>
  <c r="L364" i="1" s="1"/>
  <c r="L363" i="1"/>
  <c r="N355" i="1"/>
  <c r="N364" i="1" s="1"/>
  <c r="N363" i="1"/>
  <c r="P355" i="1"/>
  <c r="G95" i="1"/>
  <c r="G275" i="1" s="1"/>
  <c r="F275" i="1"/>
  <c r="P192" i="1"/>
  <c r="Q203" i="1"/>
  <c r="N205" i="1"/>
  <c r="N208" i="1" s="1"/>
  <c r="Q202" i="1"/>
  <c r="M355" i="1"/>
  <c r="M364" i="1" s="1"/>
  <c r="O354" i="1"/>
  <c r="P354" i="1"/>
  <c r="N354" i="1"/>
  <c r="L354" i="1"/>
  <c r="H173" i="1"/>
  <c r="F32" i="1"/>
  <c r="J31" i="1"/>
  <c r="H26" i="1"/>
  <c r="F137" i="1"/>
  <c r="G109" i="1"/>
  <c r="G105" i="1"/>
  <c r="H105" i="1" s="1"/>
  <c r="I105" i="1" s="1"/>
  <c r="J105" i="1" s="1"/>
  <c r="K105" i="1" s="1"/>
  <c r="L105" i="1" s="1"/>
  <c r="M105" i="1" s="1"/>
  <c r="N105" i="1" s="1"/>
  <c r="O105" i="1" s="1"/>
  <c r="P105" i="1" s="1"/>
  <c r="H51" i="1"/>
  <c r="F48" i="1"/>
  <c r="F49" i="1" s="1"/>
  <c r="G47" i="1"/>
  <c r="F103" i="1"/>
  <c r="F303" i="1" s="1"/>
  <c r="F305" i="1" s="1"/>
  <c r="C12" i="2" s="1"/>
  <c r="G90" i="1"/>
  <c r="G99" i="1"/>
  <c r="H99" i="1" s="1"/>
  <c r="I99" i="1" s="1"/>
  <c r="J99" i="1" s="1"/>
  <c r="K99" i="1" s="1"/>
  <c r="L99" i="1" s="1"/>
  <c r="M99" i="1" s="1"/>
  <c r="N99" i="1" s="1"/>
  <c r="O99" i="1" s="1"/>
  <c r="P99" i="1" s="1"/>
  <c r="G98" i="1"/>
  <c r="H98" i="1" s="1"/>
  <c r="I98" i="1" s="1"/>
  <c r="J98" i="1" s="1"/>
  <c r="K98" i="1" s="1"/>
  <c r="L98" i="1" s="1"/>
  <c r="M98" i="1" s="1"/>
  <c r="N98" i="1" s="1"/>
  <c r="O98" i="1" s="1"/>
  <c r="P98" i="1" s="1"/>
  <c r="K33" i="5" l="1"/>
  <c r="J67" i="5"/>
  <c r="J84" i="5" s="1"/>
  <c r="J66" i="5"/>
  <c r="J83" i="5" s="1"/>
  <c r="K16" i="5"/>
  <c r="K50" i="5" s="1"/>
  <c r="M32" i="5"/>
  <c r="M15" i="5" s="1"/>
  <c r="M49" i="5" s="1"/>
  <c r="M66" i="5" s="1"/>
  <c r="M83" i="5" s="1"/>
  <c r="K30" i="5"/>
  <c r="K13" i="5" s="1"/>
  <c r="K47" i="5" s="1"/>
  <c r="L31" i="5"/>
  <c r="L14" i="5" s="1"/>
  <c r="L48" i="5" s="1"/>
  <c r="K17" i="5"/>
  <c r="K51" i="5" s="1"/>
  <c r="C35" i="5"/>
  <c r="C18" i="5"/>
  <c r="M366" i="1"/>
  <c r="P366" i="1"/>
  <c r="F344" i="1"/>
  <c r="F269" i="1"/>
  <c r="F271" i="1" s="1"/>
  <c r="F363" i="1" s="1"/>
  <c r="G269" i="1"/>
  <c r="G271" i="1" s="1"/>
  <c r="G363" i="1" s="1"/>
  <c r="G272" i="1"/>
  <c r="H272" i="1" s="1"/>
  <c r="I272" i="1" s="1"/>
  <c r="J272" i="1" s="1"/>
  <c r="K272" i="1" s="1"/>
  <c r="L272" i="1" s="1"/>
  <c r="M272" i="1" s="1"/>
  <c r="N272" i="1" s="1"/>
  <c r="O272" i="1" s="1"/>
  <c r="P272" i="1" s="1"/>
  <c r="G385" i="1"/>
  <c r="M385" i="1"/>
  <c r="G375" i="1"/>
  <c r="M375" i="1"/>
  <c r="M356" i="1"/>
  <c r="N356" i="1"/>
  <c r="N362" i="1"/>
  <c r="N366" i="1" s="1"/>
  <c r="O356" i="1"/>
  <c r="O362" i="1"/>
  <c r="O366" i="1" s="1"/>
  <c r="L356" i="1"/>
  <c r="L362" i="1"/>
  <c r="L366" i="1" s="1"/>
  <c r="P356" i="1"/>
  <c r="H276" i="1"/>
  <c r="H95" i="1"/>
  <c r="H275" i="1" s="1"/>
  <c r="Q192" i="1"/>
  <c r="P197" i="1"/>
  <c r="P204" i="1"/>
  <c r="Q204" i="1"/>
  <c r="I173" i="1"/>
  <c r="G133" i="1"/>
  <c r="G32" i="1"/>
  <c r="G33" i="1" s="1"/>
  <c r="G34" i="1" s="1"/>
  <c r="K31" i="1"/>
  <c r="F33" i="1"/>
  <c r="F34" i="1" s="1"/>
  <c r="I26" i="1"/>
  <c r="G137" i="1"/>
  <c r="H90" i="1"/>
  <c r="H109" i="1"/>
  <c r="I51" i="1"/>
  <c r="G48" i="1"/>
  <c r="G49" i="1" s="1"/>
  <c r="H47" i="1"/>
  <c r="G103" i="1"/>
  <c r="G303" i="1" s="1"/>
  <c r="G305" i="1" s="1"/>
  <c r="H137" i="1" l="1"/>
  <c r="K68" i="5"/>
  <c r="K85" i="5" s="1"/>
  <c r="L34" i="5"/>
  <c r="L17" i="5" s="1"/>
  <c r="L51" i="5" s="1"/>
  <c r="M34" i="5" s="1"/>
  <c r="M17" i="5" s="1"/>
  <c r="M51" i="5" s="1"/>
  <c r="K67" i="5"/>
  <c r="K84" i="5" s="1"/>
  <c r="L33" i="5"/>
  <c r="L16" i="5" s="1"/>
  <c r="L50" i="5" s="1"/>
  <c r="L30" i="5"/>
  <c r="L13" i="5" s="1"/>
  <c r="L47" i="5" s="1"/>
  <c r="L64" i="5" s="1"/>
  <c r="L81" i="5" s="1"/>
  <c r="N32" i="5"/>
  <c r="N15" i="5" s="1"/>
  <c r="N49" i="5" s="1"/>
  <c r="N66" i="5" s="1"/>
  <c r="N83" i="5" s="1"/>
  <c r="M31" i="5"/>
  <c r="M14" i="5" s="1"/>
  <c r="M48" i="5" s="1"/>
  <c r="M65" i="5" s="1"/>
  <c r="M82" i="5" s="1"/>
  <c r="L65" i="5"/>
  <c r="L82" i="5" s="1"/>
  <c r="K64" i="5"/>
  <c r="K81" i="5" s="1"/>
  <c r="L18" i="5"/>
  <c r="L52" i="5" s="1"/>
  <c r="C36" i="5"/>
  <c r="C19" i="5"/>
  <c r="H258" i="1"/>
  <c r="I258" i="1" s="1"/>
  <c r="J258" i="1" s="1"/>
  <c r="K258" i="1" s="1"/>
  <c r="L258" i="1" s="1"/>
  <c r="M258" i="1" s="1"/>
  <c r="N258" i="1" s="1"/>
  <c r="O258" i="1" s="1"/>
  <c r="P258" i="1" s="1"/>
  <c r="G283" i="1"/>
  <c r="H283" i="1" s="1"/>
  <c r="I283" i="1" s="1"/>
  <c r="J283" i="1" s="1"/>
  <c r="K283" i="1" s="1"/>
  <c r="L283" i="1" s="1"/>
  <c r="M283" i="1" s="1"/>
  <c r="N283" i="1" s="1"/>
  <c r="O283" i="1" s="1"/>
  <c r="P283" i="1" s="1"/>
  <c r="H375" i="1"/>
  <c r="N375" i="1"/>
  <c r="H385" i="1"/>
  <c r="N385" i="1"/>
  <c r="I276" i="1"/>
  <c r="I95" i="1"/>
  <c r="I275" i="1" s="1"/>
  <c r="E224" i="1"/>
  <c r="Q197" i="1"/>
  <c r="J173" i="1"/>
  <c r="H133" i="1"/>
  <c r="H32" i="1"/>
  <c r="H33" i="1" s="1"/>
  <c r="H34" i="1" s="1"/>
  <c r="L31" i="1"/>
  <c r="J26" i="1"/>
  <c r="I90" i="1"/>
  <c r="I109" i="1"/>
  <c r="J51" i="1"/>
  <c r="H48" i="1"/>
  <c r="H49" i="1" s="1"/>
  <c r="I47" i="1"/>
  <c r="H103" i="1"/>
  <c r="H303" i="1" s="1"/>
  <c r="H305" i="1" s="1"/>
  <c r="D12" i="2" s="1"/>
  <c r="G37" i="1"/>
  <c r="F17" i="1"/>
  <c r="G14" i="1"/>
  <c r="H14" i="1" s="1"/>
  <c r="I14" i="1" s="1"/>
  <c r="J14" i="1" s="1"/>
  <c r="K14" i="1" s="1"/>
  <c r="L14" i="1" s="1"/>
  <c r="M14" i="1" s="1"/>
  <c r="N14" i="1" s="1"/>
  <c r="O14" i="1" s="1"/>
  <c r="P14" i="1" s="1"/>
  <c r="G13" i="1"/>
  <c r="H13" i="1" s="1"/>
  <c r="I13" i="1" s="1"/>
  <c r="J13" i="1" s="1"/>
  <c r="K13" i="1" s="1"/>
  <c r="L13" i="1" s="1"/>
  <c r="M13" i="1" s="1"/>
  <c r="N13" i="1" s="1"/>
  <c r="O13" i="1" s="1"/>
  <c r="P13" i="1" s="1"/>
  <c r="G12" i="1"/>
  <c r="H12" i="1" s="1"/>
  <c r="I12" i="1" s="1"/>
  <c r="J12" i="1" s="1"/>
  <c r="K12" i="1" s="1"/>
  <c r="L12" i="1" s="1"/>
  <c r="M12" i="1" s="1"/>
  <c r="N12" i="1" s="1"/>
  <c r="O12" i="1" s="1"/>
  <c r="P12" i="1" s="1"/>
  <c r="G11" i="1"/>
  <c r="H11" i="1" s="1"/>
  <c r="I11" i="1" s="1"/>
  <c r="J11" i="1" s="1"/>
  <c r="K11" i="1" s="1"/>
  <c r="L11" i="1" s="1"/>
  <c r="M11" i="1" s="1"/>
  <c r="N11" i="1" s="1"/>
  <c r="O11" i="1" s="1"/>
  <c r="P11" i="1" s="1"/>
  <c r="P17" i="1" s="1"/>
  <c r="G8" i="1"/>
  <c r="H8" i="1"/>
  <c r="I8" i="1"/>
  <c r="J8" i="1"/>
  <c r="K8" i="1"/>
  <c r="L8" i="1"/>
  <c r="M8" i="1"/>
  <c r="N8" i="1"/>
  <c r="O8" i="1"/>
  <c r="P8" i="1"/>
  <c r="F8" i="1"/>
  <c r="M68" i="5" l="1"/>
  <c r="M85" i="5" s="1"/>
  <c r="N34" i="5"/>
  <c r="N17" i="5" s="1"/>
  <c r="N51" i="5" s="1"/>
  <c r="N68" i="5" s="1"/>
  <c r="N85" i="5" s="1"/>
  <c r="L68" i="5"/>
  <c r="L85" i="5" s="1"/>
  <c r="L69" i="5"/>
  <c r="L86" i="5" s="1"/>
  <c r="M35" i="5"/>
  <c r="M18" i="5" s="1"/>
  <c r="M52" i="5" s="1"/>
  <c r="M33" i="5"/>
  <c r="M16" i="5" s="1"/>
  <c r="M50" i="5" s="1"/>
  <c r="L67" i="5"/>
  <c r="L84" i="5" s="1"/>
  <c r="O34" i="5"/>
  <c r="O17" i="5" s="1"/>
  <c r="O51" i="5" s="1"/>
  <c r="O68" i="5" s="1"/>
  <c r="O85" i="5" s="1"/>
  <c r="O32" i="5"/>
  <c r="O15" i="5" s="1"/>
  <c r="O49" i="5" s="1"/>
  <c r="O66" i="5" s="1"/>
  <c r="O83" i="5" s="1"/>
  <c r="N31" i="5"/>
  <c r="N14" i="5" s="1"/>
  <c r="N48" i="5" s="1"/>
  <c r="N65" i="5" s="1"/>
  <c r="N82" i="5" s="1"/>
  <c r="M30" i="5"/>
  <c r="M13" i="5" s="1"/>
  <c r="M47" i="5" s="1"/>
  <c r="M64" i="5" s="1"/>
  <c r="M81" i="5" s="1"/>
  <c r="M19" i="5"/>
  <c r="M53" i="5" s="1"/>
  <c r="C37" i="5"/>
  <c r="C20" i="5"/>
  <c r="Q206" i="1"/>
  <c r="G293" i="1"/>
  <c r="H293" i="1" s="1"/>
  <c r="I293" i="1" s="1"/>
  <c r="J293" i="1" s="1"/>
  <c r="K293" i="1" s="1"/>
  <c r="L293" i="1" s="1"/>
  <c r="M293" i="1" s="1"/>
  <c r="N293" i="1" s="1"/>
  <c r="O293" i="1" s="1"/>
  <c r="P293" i="1" s="1"/>
  <c r="H263" i="1"/>
  <c r="I263" i="1" s="1"/>
  <c r="J263" i="1" s="1"/>
  <c r="K263" i="1" s="1"/>
  <c r="L263" i="1" s="1"/>
  <c r="M263" i="1" s="1"/>
  <c r="N263" i="1" s="1"/>
  <c r="O263" i="1" s="1"/>
  <c r="P263" i="1" s="1"/>
  <c r="Q207" i="1"/>
  <c r="I385" i="1"/>
  <c r="P385" i="1" s="1"/>
  <c r="O385" i="1"/>
  <c r="I375" i="1"/>
  <c r="P375" i="1" s="1"/>
  <c r="O375" i="1"/>
  <c r="J276" i="1"/>
  <c r="J95" i="1"/>
  <c r="J275" i="1" s="1"/>
  <c r="I137" i="1"/>
  <c r="F224" i="1"/>
  <c r="E213" i="1"/>
  <c r="Q205" i="1"/>
  <c r="G299" i="1" s="1"/>
  <c r="H299" i="1" s="1"/>
  <c r="I299" i="1" s="1"/>
  <c r="J299" i="1" s="1"/>
  <c r="K299" i="1" s="1"/>
  <c r="L299" i="1" s="1"/>
  <c r="M299" i="1" s="1"/>
  <c r="N299" i="1" s="1"/>
  <c r="O299" i="1" s="1"/>
  <c r="P299" i="1" s="1"/>
  <c r="K173" i="1"/>
  <c r="I133" i="1"/>
  <c r="I32" i="1"/>
  <c r="I33" i="1" s="1"/>
  <c r="I34" i="1" s="1"/>
  <c r="M31" i="1"/>
  <c r="K26" i="1"/>
  <c r="J90" i="1"/>
  <c r="J109" i="1"/>
  <c r="K51" i="1"/>
  <c r="I48" i="1"/>
  <c r="I49" i="1" s="1"/>
  <c r="J47" i="1"/>
  <c r="I103" i="1"/>
  <c r="I303" i="1" s="1"/>
  <c r="I305" i="1" s="1"/>
  <c r="E12" i="2" s="1"/>
  <c r="H37" i="1"/>
  <c r="N17" i="1"/>
  <c r="L17" i="1"/>
  <c r="J17" i="1"/>
  <c r="H17" i="1"/>
  <c r="O17" i="1"/>
  <c r="M17" i="1"/>
  <c r="K17" i="1"/>
  <c r="I17" i="1"/>
  <c r="G17" i="1"/>
  <c r="N35" i="5" l="1"/>
  <c r="N18" i="5" s="1"/>
  <c r="N52" i="5" s="1"/>
  <c r="O35" i="5" s="1"/>
  <c r="O18" i="5" s="1"/>
  <c r="O52" i="5" s="1"/>
  <c r="N36" i="5"/>
  <c r="M70" i="5"/>
  <c r="M87" i="5" s="1"/>
  <c r="N19" i="5"/>
  <c r="N53" i="5" s="1"/>
  <c r="O36" i="5" s="1"/>
  <c r="O19" i="5" s="1"/>
  <c r="O53" i="5" s="1"/>
  <c r="O70" i="5" s="1"/>
  <c r="O87" i="5" s="1"/>
  <c r="M67" i="5"/>
  <c r="M84" i="5" s="1"/>
  <c r="N33" i="5"/>
  <c r="N16" i="5" s="1"/>
  <c r="N50" i="5" s="1"/>
  <c r="M69" i="5"/>
  <c r="M86" i="5" s="1"/>
  <c r="N30" i="5"/>
  <c r="N13" i="5" s="1"/>
  <c r="N47" i="5" s="1"/>
  <c r="N64" i="5" s="1"/>
  <c r="N81" i="5" s="1"/>
  <c r="O31" i="5"/>
  <c r="O14" i="5" s="1"/>
  <c r="O48" i="5" s="1"/>
  <c r="O65" i="5" s="1"/>
  <c r="O82" i="5" s="1"/>
  <c r="P35" i="5"/>
  <c r="P18" i="5" s="1"/>
  <c r="P52" i="5" s="1"/>
  <c r="P69" i="5" s="1"/>
  <c r="P86" i="5" s="1"/>
  <c r="P32" i="5"/>
  <c r="P15" i="5" s="1"/>
  <c r="P49" i="5" s="1"/>
  <c r="P66" i="5" s="1"/>
  <c r="P83" i="5" s="1"/>
  <c r="P34" i="5"/>
  <c r="P17" i="5" s="1"/>
  <c r="P51" i="5" s="1"/>
  <c r="P68" i="5" s="1"/>
  <c r="P85" i="5" s="1"/>
  <c r="O69" i="5"/>
  <c r="O86" i="5" s="1"/>
  <c r="N20" i="5"/>
  <c r="N54" i="5" s="1"/>
  <c r="C38" i="5"/>
  <c r="C21" i="5"/>
  <c r="Q208" i="1"/>
  <c r="K276" i="1"/>
  <c r="K95" i="1"/>
  <c r="K275" i="1" s="1"/>
  <c r="J137" i="1"/>
  <c r="H234" i="1"/>
  <c r="E215" i="1"/>
  <c r="G224" i="1"/>
  <c r="F213" i="1"/>
  <c r="L173" i="1"/>
  <c r="J133" i="1"/>
  <c r="J32" i="1"/>
  <c r="J33" i="1" s="1"/>
  <c r="J34" i="1" s="1"/>
  <c r="N31" i="1"/>
  <c r="L26" i="1"/>
  <c r="K90" i="1"/>
  <c r="K109" i="1"/>
  <c r="J48" i="1"/>
  <c r="J49" i="1" s="1"/>
  <c r="L51" i="1"/>
  <c r="K47" i="1"/>
  <c r="J103" i="1"/>
  <c r="J303" i="1" s="1"/>
  <c r="J305" i="1" s="1"/>
  <c r="F12" i="2" s="1"/>
  <c r="I37" i="1"/>
  <c r="P36" i="5" l="1"/>
  <c r="P19" i="5" s="1"/>
  <c r="P53" i="5" s="1"/>
  <c r="P70" i="5" s="1"/>
  <c r="P87" i="5" s="1"/>
  <c r="N70" i="5"/>
  <c r="N87" i="5" s="1"/>
  <c r="N69" i="5"/>
  <c r="N86" i="5" s="1"/>
  <c r="N67" i="5"/>
  <c r="N84" i="5" s="1"/>
  <c r="O33" i="5"/>
  <c r="O16" i="5" s="1"/>
  <c r="O50" i="5" s="1"/>
  <c r="O37" i="5"/>
  <c r="N71" i="5"/>
  <c r="N88" i="5" s="1"/>
  <c r="O20" i="5"/>
  <c r="O54" i="5" s="1"/>
  <c r="P37" i="5" s="1"/>
  <c r="P20" i="5" s="1"/>
  <c r="P54" i="5" s="1"/>
  <c r="P71" i="5" s="1"/>
  <c r="P88" i="5" s="1"/>
  <c r="O30" i="5"/>
  <c r="O13" i="5" s="1"/>
  <c r="O47" i="5" s="1"/>
  <c r="O64" i="5" s="1"/>
  <c r="O81" i="5" s="1"/>
  <c r="P31" i="5"/>
  <c r="P14" i="5" s="1"/>
  <c r="P48" i="5" s="1"/>
  <c r="P65" i="5" s="1"/>
  <c r="P82" i="5" s="1"/>
  <c r="O21" i="5"/>
  <c r="O55" i="5" s="1"/>
  <c r="C39" i="5"/>
  <c r="C22" i="5"/>
  <c r="L276" i="1"/>
  <c r="L95" i="1"/>
  <c r="L275" i="1" s="1"/>
  <c r="K137" i="1"/>
  <c r="I234" i="1"/>
  <c r="F215" i="1"/>
  <c r="I239" i="1" s="1"/>
  <c r="H239" i="1"/>
  <c r="E216" i="1"/>
  <c r="E217" i="1" s="1"/>
  <c r="H244" i="1" s="1"/>
  <c r="G213" i="1"/>
  <c r="H224" i="1"/>
  <c r="M173" i="1"/>
  <c r="K133" i="1"/>
  <c r="K32" i="1"/>
  <c r="K33" i="1" s="1"/>
  <c r="K34" i="1" s="1"/>
  <c r="O31" i="1"/>
  <c r="M26" i="1"/>
  <c r="L90" i="1"/>
  <c r="L109" i="1"/>
  <c r="K48" i="1"/>
  <c r="K49" i="1" s="1"/>
  <c r="M51" i="1"/>
  <c r="L47" i="1"/>
  <c r="K103" i="1"/>
  <c r="K303" i="1" s="1"/>
  <c r="K305" i="1" s="1"/>
  <c r="G12" i="2" s="1"/>
  <c r="K12" i="2" s="1"/>
  <c r="J37" i="1"/>
  <c r="P38" i="5" l="1"/>
  <c r="P21" i="5" s="1"/>
  <c r="P55" i="5" s="1"/>
  <c r="P72" i="5" s="1"/>
  <c r="P89" i="5" s="1"/>
  <c r="O72" i="5"/>
  <c r="O89" i="5" s="1"/>
  <c r="O67" i="5"/>
  <c r="O84" i="5" s="1"/>
  <c r="P33" i="5"/>
  <c r="P16" i="5" s="1"/>
  <c r="P50" i="5" s="1"/>
  <c r="P67" i="5" s="1"/>
  <c r="P84" i="5" s="1"/>
  <c r="O71" i="5"/>
  <c r="O88" i="5" s="1"/>
  <c r="P30" i="5"/>
  <c r="P13" i="5" s="1"/>
  <c r="P47" i="5" s="1"/>
  <c r="P64" i="5" s="1"/>
  <c r="P81" i="5" s="1"/>
  <c r="P22" i="5"/>
  <c r="P56" i="5" s="1"/>
  <c r="P73" i="5" s="1"/>
  <c r="P90" i="5" s="1"/>
  <c r="M276" i="1"/>
  <c r="M95" i="1"/>
  <c r="M275" i="1" s="1"/>
  <c r="L137" i="1"/>
  <c r="F219" i="1"/>
  <c r="I246" i="1" s="1"/>
  <c r="E218" i="1"/>
  <c r="H245" i="1" s="1"/>
  <c r="E219" i="1"/>
  <c r="H246" i="1" s="1"/>
  <c r="J234" i="1"/>
  <c r="G215" i="1"/>
  <c r="J239" i="1" s="1"/>
  <c r="H213" i="1"/>
  <c r="I224" i="1"/>
  <c r="F216" i="1"/>
  <c r="F217" i="1" s="1"/>
  <c r="N173" i="1"/>
  <c r="L133" i="1"/>
  <c r="L32" i="1"/>
  <c r="L33" i="1" s="1"/>
  <c r="L34" i="1" s="1"/>
  <c r="P31" i="1"/>
  <c r="N26" i="1"/>
  <c r="M90" i="1"/>
  <c r="M109" i="1"/>
  <c r="L48" i="1"/>
  <c r="L49" i="1" s="1"/>
  <c r="N51" i="1"/>
  <c r="M47" i="1"/>
  <c r="L103" i="1"/>
  <c r="L303" i="1" s="1"/>
  <c r="L305" i="1" s="1"/>
  <c r="H12" i="2" s="1"/>
  <c r="K37" i="1"/>
  <c r="N276" i="1" l="1"/>
  <c r="N95" i="1"/>
  <c r="N275" i="1" s="1"/>
  <c r="M137" i="1"/>
  <c r="E221" i="1"/>
  <c r="E222" i="1" s="1"/>
  <c r="E223" i="1" s="1"/>
  <c r="E226" i="1" s="1"/>
  <c r="I244" i="1"/>
  <c r="F218" i="1"/>
  <c r="K234" i="1"/>
  <c r="H215" i="1"/>
  <c r="K239" i="1" s="1"/>
  <c r="I213" i="1"/>
  <c r="J224" i="1"/>
  <c r="G216" i="1"/>
  <c r="G217" i="1" s="1"/>
  <c r="O173" i="1"/>
  <c r="M133" i="1"/>
  <c r="M32" i="1"/>
  <c r="M33" i="1" s="1"/>
  <c r="M34" i="1" s="1"/>
  <c r="O26" i="1"/>
  <c r="N90" i="1"/>
  <c r="N109" i="1"/>
  <c r="M48" i="1"/>
  <c r="M49" i="1" s="1"/>
  <c r="O51" i="1"/>
  <c r="N47" i="1"/>
  <c r="M103" i="1"/>
  <c r="M303" i="1" s="1"/>
  <c r="M305" i="1" s="1"/>
  <c r="L37" i="1"/>
  <c r="H251" i="1" l="1"/>
  <c r="H269" i="1"/>
  <c r="H271" i="1" s="1"/>
  <c r="H363" i="1" s="1"/>
  <c r="H343" i="1"/>
  <c r="E225" i="1"/>
  <c r="O276" i="1"/>
  <c r="O95" i="1"/>
  <c r="O275" i="1" s="1"/>
  <c r="N137" i="1"/>
  <c r="H216" i="1"/>
  <c r="H217" i="1" s="1"/>
  <c r="K244" i="1" s="1"/>
  <c r="J213" i="1"/>
  <c r="K224" i="1"/>
  <c r="J244" i="1"/>
  <c r="G218" i="1"/>
  <c r="L234" i="1"/>
  <c r="I215" i="1"/>
  <c r="L239" i="1" s="1"/>
  <c r="I245" i="1"/>
  <c r="F221" i="1"/>
  <c r="F222" i="1" s="1"/>
  <c r="F223" i="1" s="1"/>
  <c r="P173" i="1"/>
  <c r="N133" i="1"/>
  <c r="N32" i="1"/>
  <c r="N33" i="1" s="1"/>
  <c r="N34" i="1" s="1"/>
  <c r="P26" i="1"/>
  <c r="O90" i="1"/>
  <c r="O109" i="1"/>
  <c r="N48" i="1"/>
  <c r="N49" i="1" s="1"/>
  <c r="P51" i="1"/>
  <c r="O47" i="1"/>
  <c r="N103" i="1"/>
  <c r="N303" i="1" s="1"/>
  <c r="N305" i="1" s="1"/>
  <c r="M37" i="1"/>
  <c r="G344" i="1" l="1"/>
  <c r="P276" i="1"/>
  <c r="P95" i="1"/>
  <c r="P275" i="1" s="1"/>
  <c r="O137" i="1"/>
  <c r="H218" i="1"/>
  <c r="K245" i="1" s="1"/>
  <c r="I216" i="1"/>
  <c r="I217" i="1" s="1"/>
  <c r="I251" i="1"/>
  <c r="F225" i="1"/>
  <c r="F226" i="1"/>
  <c r="M234" i="1"/>
  <c r="J215" i="1"/>
  <c r="M239" i="1" s="1"/>
  <c r="J245" i="1"/>
  <c r="G221" i="1"/>
  <c r="G222" i="1" s="1"/>
  <c r="G223" i="1" s="1"/>
  <c r="K213" i="1"/>
  <c r="L224" i="1"/>
  <c r="O133" i="1"/>
  <c r="O32" i="1"/>
  <c r="O33" i="1" s="1"/>
  <c r="O34" i="1" s="1"/>
  <c r="P90" i="1"/>
  <c r="P109" i="1"/>
  <c r="O48" i="1"/>
  <c r="O49" i="1" s="1"/>
  <c r="P47" i="1"/>
  <c r="O103" i="1"/>
  <c r="O303" i="1" s="1"/>
  <c r="O305" i="1" s="1"/>
  <c r="N37" i="1"/>
  <c r="I269" i="1" l="1"/>
  <c r="I271" i="1" s="1"/>
  <c r="I363" i="1" s="1"/>
  <c r="I343" i="1"/>
  <c r="P137" i="1"/>
  <c r="H221" i="1"/>
  <c r="H222" i="1" s="1"/>
  <c r="H223" i="1" s="1"/>
  <c r="L244" i="1"/>
  <c r="I218" i="1"/>
  <c r="N234" i="1"/>
  <c r="K215" i="1"/>
  <c r="N239" i="1" s="1"/>
  <c r="L213" i="1"/>
  <c r="M224" i="1"/>
  <c r="J251" i="1"/>
  <c r="G226" i="1"/>
  <c r="G225" i="1"/>
  <c r="J216" i="1"/>
  <c r="J217" i="1" s="1"/>
  <c r="P133" i="1"/>
  <c r="P32" i="1"/>
  <c r="P33" i="1" s="1"/>
  <c r="P34" i="1" s="1"/>
  <c r="P103" i="1"/>
  <c r="P303" i="1" s="1"/>
  <c r="P305" i="1" s="1"/>
  <c r="P48" i="1"/>
  <c r="P49" i="1" s="1"/>
  <c r="O37" i="1"/>
  <c r="H344" i="1" l="1"/>
  <c r="J269" i="1"/>
  <c r="J271" i="1" s="1"/>
  <c r="J363" i="1" s="1"/>
  <c r="J343" i="1"/>
  <c r="H226" i="1"/>
  <c r="H225" i="1"/>
  <c r="K251" i="1"/>
  <c r="L245" i="1"/>
  <c r="I221" i="1"/>
  <c r="I222" i="1" s="1"/>
  <c r="I223" i="1" s="1"/>
  <c r="M244" i="1"/>
  <c r="J218" i="1"/>
  <c r="M245" i="1" s="1"/>
  <c r="O234" i="1"/>
  <c r="L215" i="1"/>
  <c r="O239" i="1" s="1"/>
  <c r="M213" i="1"/>
  <c r="N224" i="1"/>
  <c r="K216" i="1"/>
  <c r="K217" i="1" s="1"/>
  <c r="P37" i="1"/>
  <c r="K354" i="1"/>
  <c r="K362" i="1" s="1"/>
  <c r="K355" i="1"/>
  <c r="K364" i="1" s="1"/>
  <c r="K366" i="1" l="1"/>
  <c r="I344" i="1"/>
  <c r="K269" i="1"/>
  <c r="K271" i="1" s="1"/>
  <c r="K343" i="1"/>
  <c r="J221" i="1"/>
  <c r="J222" i="1" s="1"/>
  <c r="J223" i="1" s="1"/>
  <c r="L251" i="1"/>
  <c r="I226" i="1"/>
  <c r="I225" i="1"/>
  <c r="J226" i="1"/>
  <c r="L216" i="1"/>
  <c r="L217" i="1" s="1"/>
  <c r="N244" i="1"/>
  <c r="K218" i="1"/>
  <c r="N245" i="1" s="1"/>
  <c r="N213" i="1"/>
  <c r="O224" i="1"/>
  <c r="P234" i="1"/>
  <c r="M215" i="1"/>
  <c r="P239" i="1" s="1"/>
  <c r="K356" i="1"/>
  <c r="J344" i="1" l="1"/>
  <c r="J365" i="1" s="1"/>
  <c r="L269" i="1"/>
  <c r="L271" i="1" s="1"/>
  <c r="L343" i="1"/>
  <c r="M251" i="1"/>
  <c r="J225" i="1"/>
  <c r="K221" i="1"/>
  <c r="K222" i="1" s="1"/>
  <c r="K223" i="1" s="1"/>
  <c r="M216" i="1"/>
  <c r="M217" i="1" s="1"/>
  <c r="P244" i="1" s="1"/>
  <c r="O244" i="1"/>
  <c r="L218" i="1"/>
  <c r="N215" i="1"/>
  <c r="N216" i="1" s="1"/>
  <c r="O213" i="1"/>
  <c r="P224" i="1"/>
  <c r="P213" i="1" s="1"/>
  <c r="K344" i="1" l="1"/>
  <c r="M218" i="1"/>
  <c r="P245" i="1" s="1"/>
  <c r="M269" i="1"/>
  <c r="M271" i="1" s="1"/>
  <c r="M343" i="1"/>
  <c r="N251" i="1"/>
  <c r="K226" i="1"/>
  <c r="K225" i="1"/>
  <c r="N217" i="1"/>
  <c r="N218" i="1" s="1"/>
  <c r="O245" i="1"/>
  <c r="L221" i="1"/>
  <c r="L222" i="1" s="1"/>
  <c r="L223" i="1" s="1"/>
  <c r="O215" i="1"/>
  <c r="O216" i="1" s="1"/>
  <c r="P215" i="1"/>
  <c r="P216" i="1" s="1"/>
  <c r="L344" i="1" l="1"/>
  <c r="M221" i="1"/>
  <c r="M222" i="1" s="1"/>
  <c r="M223" i="1" s="1"/>
  <c r="M225" i="1" s="1"/>
  <c r="N269" i="1"/>
  <c r="N271" i="1" s="1"/>
  <c r="N343" i="1"/>
  <c r="P217" i="1"/>
  <c r="P218" i="1" s="1"/>
  <c r="O217" i="1"/>
  <c r="O218" i="1" s="1"/>
  <c r="L225" i="1"/>
  <c r="O251" i="1"/>
  <c r="L226" i="1"/>
  <c r="N221" i="1"/>
  <c r="N222" i="1" s="1"/>
  <c r="N223" i="1" s="1"/>
  <c r="N226" i="1" s="1"/>
  <c r="M344" i="1" l="1"/>
  <c r="P251" i="1"/>
  <c r="P343" i="1" s="1"/>
  <c r="M226" i="1"/>
  <c r="O269" i="1"/>
  <c r="O271" i="1" s="1"/>
  <c r="O343" i="1"/>
  <c r="N225" i="1"/>
  <c r="O221" i="1"/>
  <c r="O222" i="1" s="1"/>
  <c r="O223" i="1" s="1"/>
  <c r="O226" i="1" s="1"/>
  <c r="P221" i="1"/>
  <c r="P222" i="1" s="1"/>
  <c r="P223" i="1" s="1"/>
  <c r="P226" i="1" s="1"/>
  <c r="N344" i="1" l="1"/>
  <c r="O344" i="1"/>
  <c r="P269" i="1"/>
  <c r="P271" i="1" s="1"/>
  <c r="O225" i="1"/>
  <c r="P225" i="1"/>
  <c r="F16" i="1"/>
  <c r="F18" i="1" s="1"/>
  <c r="E100" i="1"/>
  <c r="E136" i="1"/>
  <c r="E138" i="1" s="1"/>
  <c r="E153" i="1"/>
  <c r="E110" i="1" l="1"/>
  <c r="E25" i="1"/>
  <c r="F19" i="1"/>
  <c r="F41" i="1" s="1"/>
  <c r="E111" i="1"/>
  <c r="E141" i="1"/>
  <c r="E146" i="1" s="1"/>
  <c r="F122" i="1"/>
  <c r="F267" i="1" s="1"/>
  <c r="E144" i="1"/>
  <c r="E139" i="1"/>
  <c r="E174" i="1" s="1"/>
  <c r="F20" i="1" l="1"/>
  <c r="F92" i="1" s="1"/>
  <c r="F136" i="1" s="1"/>
  <c r="E150" i="1"/>
  <c r="E175" i="1"/>
  <c r="E327" i="1"/>
  <c r="E329" i="1" s="1"/>
  <c r="E353" i="1" s="1"/>
  <c r="E112" i="1"/>
  <c r="E113" i="1" s="1"/>
  <c r="E142" i="1"/>
  <c r="F42" i="1" l="1"/>
  <c r="G16" i="1"/>
  <c r="F21" i="1"/>
  <c r="F22" i="1" s="1"/>
  <c r="F70" i="1" s="1"/>
  <c r="F181" i="1"/>
  <c r="E143" i="1"/>
  <c r="E149" i="1" s="1"/>
  <c r="E148" i="1"/>
  <c r="E147" i="1"/>
  <c r="E356" i="1"/>
  <c r="E361" i="1"/>
  <c r="E366" i="1" s="1"/>
  <c r="F40" i="1" l="1"/>
  <c r="F75" i="1" s="1"/>
  <c r="G39" i="1"/>
  <c r="F93" i="1"/>
  <c r="F94" i="1" s="1"/>
  <c r="G19" i="1"/>
  <c r="G41" i="1" s="1"/>
  <c r="G18" i="1"/>
  <c r="F262" i="1" l="1"/>
  <c r="F264" i="1" s="1"/>
  <c r="F287" i="1"/>
  <c r="F289" i="1" s="1"/>
  <c r="C10" i="2" s="1"/>
  <c r="F91" i="1"/>
  <c r="G20" i="1"/>
  <c r="G92" i="1" s="1"/>
  <c r="C18" i="2" l="1"/>
  <c r="F27" i="1"/>
  <c r="F28" i="1" s="1"/>
  <c r="F29" i="1" s="1"/>
  <c r="F71" i="1" s="1"/>
  <c r="F72" i="1" s="1"/>
  <c r="F282" i="1"/>
  <c r="F284" i="1" s="1"/>
  <c r="C9" i="2" s="1"/>
  <c r="G42" i="1"/>
  <c r="G93" i="1" s="1"/>
  <c r="G94" i="1" s="1"/>
  <c r="H16" i="1"/>
  <c r="H18" i="1" s="1"/>
  <c r="F100" i="1"/>
  <c r="F134" i="1"/>
  <c r="F138" i="1" s="1"/>
  <c r="F298" i="1" s="1"/>
  <c r="F300" i="1" s="1"/>
  <c r="F153" i="1"/>
  <c r="F156" i="1" s="1"/>
  <c r="F257" i="1" s="1"/>
  <c r="F259" i="1" s="1"/>
  <c r="G21" i="1"/>
  <c r="G22" i="1" s="1"/>
  <c r="G70" i="1" s="1"/>
  <c r="G181" i="1"/>
  <c r="G136" i="1"/>
  <c r="H19" i="1" l="1"/>
  <c r="H41" i="1" s="1"/>
  <c r="G40" i="1"/>
  <c r="G75" i="1" s="1"/>
  <c r="F182" i="1"/>
  <c r="F292" i="1"/>
  <c r="F294" i="1" s="1"/>
  <c r="G91" i="1"/>
  <c r="G282" i="1" s="1"/>
  <c r="G284" i="1" s="1"/>
  <c r="G287" i="1"/>
  <c r="G289" i="1" s="1"/>
  <c r="H39" i="1"/>
  <c r="F158" i="1"/>
  <c r="F184" i="1"/>
  <c r="F139" i="1"/>
  <c r="G262" i="1"/>
  <c r="G264" i="1" s="1"/>
  <c r="H20" i="1"/>
  <c r="H92" i="1" s="1"/>
  <c r="G153" i="1"/>
  <c r="G134" i="1" l="1"/>
  <c r="G138" i="1" s="1"/>
  <c r="G298" i="1" s="1"/>
  <c r="G300" i="1" s="1"/>
  <c r="G100" i="1"/>
  <c r="G292" i="1" s="1"/>
  <c r="G294" i="1" s="1"/>
  <c r="G295" i="1" s="1"/>
  <c r="G27" i="1"/>
  <c r="G28" i="1" s="1"/>
  <c r="G29" i="1" s="1"/>
  <c r="G71" i="1" s="1"/>
  <c r="G72" i="1" s="1"/>
  <c r="F295" i="1"/>
  <c r="C11" i="2"/>
  <c r="G182" i="1"/>
  <c r="F174" i="1"/>
  <c r="H42" i="1"/>
  <c r="I39" i="1" s="1"/>
  <c r="I16" i="1"/>
  <c r="I19" i="1" s="1"/>
  <c r="I41" i="1" s="1"/>
  <c r="H21" i="1"/>
  <c r="H22" i="1" s="1"/>
  <c r="H70" i="1" s="1"/>
  <c r="H136" i="1"/>
  <c r="H181" i="1"/>
  <c r="G156" i="1"/>
  <c r="G257" i="1" s="1"/>
  <c r="G259" i="1" s="1"/>
  <c r="G139" i="1"/>
  <c r="G184" i="1"/>
  <c r="G158" i="1"/>
  <c r="I18" i="1" l="1"/>
  <c r="G174" i="1"/>
  <c r="H40" i="1"/>
  <c r="H75" i="1" s="1"/>
  <c r="H93" i="1"/>
  <c r="H94" i="1" s="1"/>
  <c r="I20" i="1"/>
  <c r="H262" i="1" l="1"/>
  <c r="H264" i="1" s="1"/>
  <c r="H287" i="1"/>
  <c r="H289" i="1" s="1"/>
  <c r="D10" i="2" s="1"/>
  <c r="D18" i="2" s="1"/>
  <c r="H91" i="1"/>
  <c r="H282" i="1" s="1"/>
  <c r="H284" i="1" s="1"/>
  <c r="D9" i="2" s="1"/>
  <c r="I92" i="1"/>
  <c r="I42" i="1"/>
  <c r="I21" i="1"/>
  <c r="I22" i="1" s="1"/>
  <c r="I70" i="1" s="1"/>
  <c r="J16" i="1"/>
  <c r="H100" i="1" l="1"/>
  <c r="H292" i="1" s="1"/>
  <c r="H294" i="1" s="1"/>
  <c r="H134" i="1"/>
  <c r="H138" i="1" s="1"/>
  <c r="H298" i="1" s="1"/>
  <c r="H300" i="1" s="1"/>
  <c r="H27" i="1"/>
  <c r="H28" i="1" s="1"/>
  <c r="H29" i="1" s="1"/>
  <c r="H71" i="1" s="1"/>
  <c r="H72" i="1" s="1"/>
  <c r="H153" i="1"/>
  <c r="H156" i="1" s="1"/>
  <c r="H257" i="1" s="1"/>
  <c r="H259" i="1" s="1"/>
  <c r="I181" i="1"/>
  <c r="I136" i="1"/>
  <c r="J19" i="1"/>
  <c r="J41" i="1" s="1"/>
  <c r="J18" i="1"/>
  <c r="I40" i="1"/>
  <c r="I75" i="1" s="1"/>
  <c r="J39" i="1"/>
  <c r="I93" i="1"/>
  <c r="I94" i="1" s="1"/>
  <c r="I287" i="1" s="1"/>
  <c r="I289" i="1" s="1"/>
  <c r="E10" i="2" s="1"/>
  <c r="E18" i="2" s="1"/>
  <c r="H295" i="1" l="1"/>
  <c r="D11" i="2"/>
  <c r="H182" i="1"/>
  <c r="H184" i="1"/>
  <c r="H139" i="1"/>
  <c r="H158" i="1"/>
  <c r="J20" i="1"/>
  <c r="J42" i="1" s="1"/>
  <c r="I262" i="1"/>
  <c r="I264" i="1" s="1"/>
  <c r="I91" i="1"/>
  <c r="I282" i="1" s="1"/>
  <c r="I284" i="1" s="1"/>
  <c r="E9" i="2" s="1"/>
  <c r="H174" i="1" l="1"/>
  <c r="J21" i="1"/>
  <c r="J22" i="1" s="1"/>
  <c r="J70" i="1" s="1"/>
  <c r="J92" i="1"/>
  <c r="J181" i="1" s="1"/>
  <c r="K16" i="1"/>
  <c r="K19" i="1" s="1"/>
  <c r="K41" i="1" s="1"/>
  <c r="I134" i="1"/>
  <c r="I138" i="1" s="1"/>
  <c r="I298" i="1" s="1"/>
  <c r="I300" i="1" s="1"/>
  <c r="I153" i="1"/>
  <c r="I156" i="1" s="1"/>
  <c r="I257" i="1" s="1"/>
  <c r="I259" i="1" s="1"/>
  <c r="I27" i="1"/>
  <c r="I28" i="1" s="1"/>
  <c r="I29" i="1" s="1"/>
  <c r="I71" i="1" s="1"/>
  <c r="I72" i="1" s="1"/>
  <c r="I100" i="1"/>
  <c r="I292" i="1" s="1"/>
  <c r="I294" i="1" s="1"/>
  <c r="J136" i="1"/>
  <c r="K39" i="1"/>
  <c r="J93" i="1"/>
  <c r="J40" i="1"/>
  <c r="J75" i="1" s="1"/>
  <c r="I295" i="1" l="1"/>
  <c r="E11" i="2"/>
  <c r="J94" i="1"/>
  <c r="J287" i="1" s="1"/>
  <c r="J289" i="1" s="1"/>
  <c r="F10" i="2" s="1"/>
  <c r="F18" i="2" s="1"/>
  <c r="K18" i="1"/>
  <c r="K20" i="1" s="1"/>
  <c r="L16" i="1" s="1"/>
  <c r="J262" i="1"/>
  <c r="J264" i="1" s="1"/>
  <c r="I139" i="1"/>
  <c r="I158" i="1"/>
  <c r="I184" i="1"/>
  <c r="I182" i="1"/>
  <c r="J91" i="1" l="1"/>
  <c r="J282" i="1" s="1"/>
  <c r="J284" i="1" s="1"/>
  <c r="F9" i="2" s="1"/>
  <c r="I174" i="1"/>
  <c r="K92" i="1"/>
  <c r="K181" i="1" s="1"/>
  <c r="K42" i="1"/>
  <c r="L39" i="1" s="1"/>
  <c r="K21" i="1"/>
  <c r="K22" i="1" s="1"/>
  <c r="K70" i="1" s="1"/>
  <c r="K136" i="1"/>
  <c r="K40" i="1"/>
  <c r="K75" i="1" s="1"/>
  <c r="L19" i="1"/>
  <c r="L41" i="1" s="1"/>
  <c r="L18" i="1"/>
  <c r="J100" i="1"/>
  <c r="J292" i="1" s="1"/>
  <c r="J294" i="1" s="1"/>
  <c r="J27" i="1" l="1"/>
  <c r="J28" i="1" s="1"/>
  <c r="J29" i="1" s="1"/>
  <c r="J71" i="1" s="1"/>
  <c r="J72" i="1" s="1"/>
  <c r="J295" i="1"/>
  <c r="F11" i="2"/>
  <c r="J134" i="1"/>
  <c r="J138" i="1" s="1"/>
  <c r="J298" i="1" s="1"/>
  <c r="J300" i="1" s="1"/>
  <c r="J153" i="1"/>
  <c r="J156" i="1" s="1"/>
  <c r="J257" i="1" s="1"/>
  <c r="J259" i="1" s="1"/>
  <c r="K93" i="1"/>
  <c r="K94" i="1" s="1"/>
  <c r="K287" i="1" s="1"/>
  <c r="K289" i="1" s="1"/>
  <c r="G10" i="2" s="1"/>
  <c r="L20" i="1"/>
  <c r="M16" i="1" s="1"/>
  <c r="J184" i="1"/>
  <c r="J139" i="1"/>
  <c r="J158" i="1"/>
  <c r="J182" i="1"/>
  <c r="K91" i="1" l="1"/>
  <c r="K282" i="1" s="1"/>
  <c r="K284" i="1" s="1"/>
  <c r="G9" i="2" s="1"/>
  <c r="K9" i="2" s="1"/>
  <c r="G18" i="2"/>
  <c r="K10" i="2"/>
  <c r="K262" i="1"/>
  <c r="K264" i="1" s="1"/>
  <c r="J174" i="1"/>
  <c r="L42" i="1"/>
  <c r="M39" i="1" s="1"/>
  <c r="L92" i="1"/>
  <c r="L181" i="1" s="1"/>
  <c r="L21" i="1"/>
  <c r="L22" i="1" s="1"/>
  <c r="L70" i="1" s="1"/>
  <c r="M19" i="1"/>
  <c r="M41" i="1" s="1"/>
  <c r="M18" i="1"/>
  <c r="K27" i="1"/>
  <c r="K28" i="1" s="1"/>
  <c r="K29" i="1" s="1"/>
  <c r="K71" i="1" s="1"/>
  <c r="K72" i="1" s="1"/>
  <c r="K100" i="1"/>
  <c r="K153" i="1"/>
  <c r="K156" i="1" s="1"/>
  <c r="K257" i="1" s="1"/>
  <c r="K259" i="1" s="1"/>
  <c r="K134" i="1"/>
  <c r="K138" i="1" s="1"/>
  <c r="K298" i="1" s="1"/>
  <c r="K300" i="1" s="1"/>
  <c r="K182" i="1" l="1"/>
  <c r="K292" i="1"/>
  <c r="K294" i="1" s="1"/>
  <c r="L136" i="1"/>
  <c r="L40" i="1"/>
  <c r="L75" i="1" s="1"/>
  <c r="L93" i="1"/>
  <c r="L94" i="1"/>
  <c r="M20" i="1"/>
  <c r="M21" i="1" s="1"/>
  <c r="M22" i="1" s="1"/>
  <c r="M70" i="1" s="1"/>
  <c r="K139" i="1"/>
  <c r="K158" i="1"/>
  <c r="K184" i="1"/>
  <c r="K295" i="1" l="1"/>
  <c r="G11" i="2"/>
  <c r="K11" i="2" s="1"/>
  <c r="F400" i="1"/>
  <c r="L91" i="1"/>
  <c r="L282" i="1" s="1"/>
  <c r="L284" i="1" s="1"/>
  <c r="H9" i="2" s="1"/>
  <c r="L287" i="1"/>
  <c r="L289" i="1" s="1"/>
  <c r="H10" i="2" s="1"/>
  <c r="H18" i="2" s="1"/>
  <c r="K18" i="2" s="1"/>
  <c r="L262" i="1"/>
  <c r="L264" i="1" s="1"/>
  <c r="K174" i="1"/>
  <c r="N16" i="1"/>
  <c r="N18" i="1" s="1"/>
  <c r="M92" i="1"/>
  <c r="M136" i="1" s="1"/>
  <c r="M42" i="1"/>
  <c r="M40" i="1" s="1"/>
  <c r="M75" i="1" s="1"/>
  <c r="L153" i="1" l="1"/>
  <c r="L156" i="1" s="1"/>
  <c r="L257" i="1" s="1"/>
  <c r="L259" i="1" s="1"/>
  <c r="M181" i="1"/>
  <c r="L134" i="1"/>
  <c r="L138" i="1" s="1"/>
  <c r="L298" i="1" s="1"/>
  <c r="L300" i="1" s="1"/>
  <c r="L27" i="1"/>
  <c r="L28" i="1" s="1"/>
  <c r="L29" i="1" s="1"/>
  <c r="L71" i="1" s="1"/>
  <c r="L72" i="1" s="1"/>
  <c r="L100" i="1"/>
  <c r="L292" i="1" s="1"/>
  <c r="L294" i="1" s="1"/>
  <c r="N19" i="1"/>
  <c r="N41" i="1" s="1"/>
  <c r="N39" i="1"/>
  <c r="M93" i="1"/>
  <c r="M94" i="1" s="1"/>
  <c r="M262" i="1" s="1"/>
  <c r="M264" i="1" s="1"/>
  <c r="L184" i="1" l="1"/>
  <c r="L158" i="1"/>
  <c r="L295" i="1"/>
  <c r="H11" i="2"/>
  <c r="L139" i="1"/>
  <c r="L182" i="1"/>
  <c r="N20" i="1"/>
  <c r="O16" i="1" s="1"/>
  <c r="M91" i="1"/>
  <c r="M282" i="1" s="1"/>
  <c r="M284" i="1" s="1"/>
  <c r="M287" i="1"/>
  <c r="M289" i="1" s="1"/>
  <c r="L174" i="1"/>
  <c r="M153" i="1"/>
  <c r="M156" i="1" s="1"/>
  <c r="M257" i="1" s="1"/>
  <c r="M259" i="1" s="1"/>
  <c r="N92" i="1"/>
  <c r="M100" i="1" l="1"/>
  <c r="M292" i="1" s="1"/>
  <c r="M294" i="1" s="1"/>
  <c r="M295" i="1" s="1"/>
  <c r="N21" i="1"/>
  <c r="N22" i="1" s="1"/>
  <c r="N70" i="1" s="1"/>
  <c r="N42" i="1"/>
  <c r="O39" i="1" s="1"/>
  <c r="M27" i="1"/>
  <c r="M28" i="1" s="1"/>
  <c r="M29" i="1" s="1"/>
  <c r="M71" i="1" s="1"/>
  <c r="M72" i="1" s="1"/>
  <c r="M134" i="1"/>
  <c r="M138" i="1" s="1"/>
  <c r="M298" i="1" s="1"/>
  <c r="M300" i="1" s="1"/>
  <c r="O19" i="1"/>
  <c r="O41" i="1" s="1"/>
  <c r="O18" i="1"/>
  <c r="N136" i="1"/>
  <c r="N181" i="1"/>
  <c r="M139" i="1"/>
  <c r="M158" i="1"/>
  <c r="M184" i="1"/>
  <c r="M182" i="1"/>
  <c r="N93" i="1" l="1"/>
  <c r="N94" i="1" s="1"/>
  <c r="N287" i="1" s="1"/>
  <c r="N289" i="1" s="1"/>
  <c r="N40" i="1"/>
  <c r="N75" i="1" s="1"/>
  <c r="M174" i="1"/>
  <c r="O20" i="1"/>
  <c r="O21" i="1" s="1"/>
  <c r="O22" i="1" s="1"/>
  <c r="O70" i="1" s="1"/>
  <c r="N91" i="1" l="1"/>
  <c r="N282" i="1" s="1"/>
  <c r="N284" i="1" s="1"/>
  <c r="N262" i="1"/>
  <c r="N264" i="1" s="1"/>
  <c r="P16" i="1"/>
  <c r="P19" i="1" s="1"/>
  <c r="P41" i="1" s="1"/>
  <c r="O92" i="1"/>
  <c r="O136" i="1" s="1"/>
  <c r="O42" i="1"/>
  <c r="P39" i="1" s="1"/>
  <c r="N153" i="1" l="1"/>
  <c r="N156" i="1" s="1"/>
  <c r="N257" i="1" s="1"/>
  <c r="N259" i="1" s="1"/>
  <c r="N134" i="1"/>
  <c r="N138" i="1" s="1"/>
  <c r="N298" i="1" s="1"/>
  <c r="N300" i="1" s="1"/>
  <c r="N27" i="1"/>
  <c r="N28" i="1" s="1"/>
  <c r="N29" i="1" s="1"/>
  <c r="N71" i="1" s="1"/>
  <c r="N72" i="1" s="1"/>
  <c r="N100" i="1"/>
  <c r="N292" i="1" s="1"/>
  <c r="N294" i="1" s="1"/>
  <c r="N295" i="1" s="1"/>
  <c r="O181" i="1"/>
  <c r="O93" i="1"/>
  <c r="O94" i="1" s="1"/>
  <c r="O91" i="1" s="1"/>
  <c r="O282" i="1" s="1"/>
  <c r="O284" i="1" s="1"/>
  <c r="O40" i="1"/>
  <c r="O75" i="1" s="1"/>
  <c r="P18" i="1"/>
  <c r="P20" i="1" s="1"/>
  <c r="P42" i="1" s="1"/>
  <c r="N184" i="1" l="1"/>
  <c r="N158" i="1"/>
  <c r="N182" i="1"/>
  <c r="N139" i="1"/>
  <c r="O262" i="1"/>
  <c r="O264" i="1" s="1"/>
  <c r="O287" i="1"/>
  <c r="O289" i="1" s="1"/>
  <c r="N174" i="1"/>
  <c r="P92" i="1"/>
  <c r="P181" i="1" s="1"/>
  <c r="P21" i="1"/>
  <c r="P22" i="1" s="1"/>
  <c r="P70" i="1" s="1"/>
  <c r="P40" i="1"/>
  <c r="P75" i="1" s="1"/>
  <c r="P93" i="1"/>
  <c r="O134" i="1"/>
  <c r="O138" i="1" s="1"/>
  <c r="O298" i="1" s="1"/>
  <c r="O300" i="1" s="1"/>
  <c r="O153" i="1"/>
  <c r="O27" i="1"/>
  <c r="O100" i="1"/>
  <c r="P136" i="1" l="1"/>
  <c r="J377" i="1"/>
  <c r="O182" i="1"/>
  <c r="O292" i="1"/>
  <c r="O294" i="1" s="1"/>
  <c r="O295" i="1" s="1"/>
  <c r="P94" i="1"/>
  <c r="O184" i="1"/>
  <c r="O139" i="1"/>
  <c r="O158" i="1"/>
  <c r="O156" i="1"/>
  <c r="O257" i="1" s="1"/>
  <c r="O259" i="1" s="1"/>
  <c r="O28" i="1"/>
  <c r="O29" i="1" s="1"/>
  <c r="O71" i="1" s="1"/>
  <c r="O72" i="1" s="1"/>
  <c r="J378" i="1" l="1"/>
  <c r="P91" i="1"/>
  <c r="P282" i="1" s="1"/>
  <c r="P284" i="1" s="1"/>
  <c r="P287" i="1"/>
  <c r="P289" i="1" s="1"/>
  <c r="P262" i="1"/>
  <c r="P264" i="1" s="1"/>
  <c r="O174" i="1"/>
  <c r="P134" i="1"/>
  <c r="P138" i="1" s="1"/>
  <c r="P298" i="1" s="1"/>
  <c r="P300" i="1" s="1"/>
  <c r="P100" i="1" l="1"/>
  <c r="J379" i="1"/>
  <c r="P153" i="1"/>
  <c r="P156" i="1" s="1"/>
  <c r="P257" i="1" s="1"/>
  <c r="P259" i="1" s="1"/>
  <c r="P27" i="1"/>
  <c r="P28" i="1" s="1"/>
  <c r="P29" i="1" s="1"/>
  <c r="P71" i="1" s="1"/>
  <c r="P72" i="1" s="1"/>
  <c r="P182" i="1"/>
  <c r="P292" i="1"/>
  <c r="P294" i="1" s="1"/>
  <c r="P295" i="1" s="1"/>
  <c r="P139" i="1"/>
  <c r="P184" i="1"/>
  <c r="P158" i="1"/>
  <c r="J380" i="1" l="1"/>
  <c r="J381" i="1"/>
  <c r="P174" i="1"/>
  <c r="E57" i="5" l="1"/>
  <c r="F23" i="5"/>
  <c r="F45" i="5"/>
  <c r="G28" i="5" l="1"/>
  <c r="F62" i="5"/>
  <c r="F79" i="5" s="1"/>
  <c r="G11" i="5" l="1"/>
  <c r="G45" i="5" l="1"/>
  <c r="G62" i="5" l="1"/>
  <c r="G79" i="5" s="1"/>
  <c r="H28" i="5"/>
  <c r="H11" i="5" l="1"/>
  <c r="H45" i="5" l="1"/>
  <c r="H62" i="5" l="1"/>
  <c r="H79" i="5" s="1"/>
  <c r="I28" i="5"/>
  <c r="I11" i="5" l="1"/>
  <c r="I45" i="5" l="1"/>
  <c r="I62" i="5" l="1"/>
  <c r="I79" i="5" s="1"/>
  <c r="J28" i="5"/>
  <c r="J11" i="5" l="1"/>
  <c r="J45" i="5" l="1"/>
  <c r="J62" i="5" l="1"/>
  <c r="J79" i="5" s="1"/>
  <c r="K28" i="5"/>
  <c r="K11" i="5" l="1"/>
  <c r="K45" i="5" l="1"/>
  <c r="L28" i="5" l="1"/>
  <c r="L11" i="5" s="1"/>
  <c r="K62" i="5"/>
  <c r="K79" i="5" s="1"/>
  <c r="L45" i="5" l="1"/>
  <c r="L62" i="5" l="1"/>
  <c r="L79" i="5" s="1"/>
  <c r="M28" i="5"/>
  <c r="M11" i="5" l="1"/>
  <c r="M45" i="5" s="1"/>
  <c r="N28" i="5" l="1"/>
  <c r="M62" i="5"/>
  <c r="M79" i="5" s="1"/>
  <c r="N11" i="5" l="1"/>
  <c r="N45" i="5" l="1"/>
  <c r="N62" i="5" l="1"/>
  <c r="N79" i="5" s="1"/>
  <c r="O28" i="5"/>
  <c r="O11" i="5" l="1"/>
  <c r="O45" i="5" l="1"/>
  <c r="O62" i="5" l="1"/>
  <c r="O79" i="5" s="1"/>
  <c r="P28" i="5"/>
  <c r="P11" i="5" l="1"/>
  <c r="P45" i="5" l="1"/>
  <c r="P62" i="5" s="1"/>
  <c r="P79" i="5" l="1"/>
  <c r="F40" i="5"/>
  <c r="F46" i="5"/>
  <c r="G29" i="5" s="1"/>
  <c r="G40" i="5" l="1"/>
  <c r="G12" i="5"/>
  <c r="G23" i="5" s="1"/>
  <c r="F63" i="5"/>
  <c r="F57" i="5"/>
  <c r="G46" i="5" l="1"/>
  <c r="G63" i="5" s="1"/>
  <c r="G74" i="5" s="1"/>
  <c r="F80" i="5"/>
  <c r="F91" i="5" s="1"/>
  <c r="F74" i="5"/>
  <c r="H29" i="5" l="1"/>
  <c r="H40" i="5" s="1"/>
  <c r="G80" i="5"/>
  <c r="G91" i="5" s="1"/>
  <c r="G57" i="5"/>
  <c r="H12" i="5" l="1"/>
  <c r="H23" i="5" s="1"/>
  <c r="H46" i="5"/>
  <c r="H57" i="5" l="1"/>
  <c r="I29" i="5"/>
  <c r="I40" i="5" s="1"/>
  <c r="H63" i="5"/>
  <c r="I12" i="5" l="1"/>
  <c r="H74" i="5"/>
  <c r="H80" i="5"/>
  <c r="H91" i="5" s="1"/>
  <c r="I23" i="5" l="1"/>
  <c r="I46" i="5"/>
  <c r="I57" i="5" l="1"/>
  <c r="J29" i="5"/>
  <c r="J40" i="5" s="1"/>
  <c r="I63" i="5"/>
  <c r="J12" i="5" l="1"/>
  <c r="I80" i="5"/>
  <c r="I91" i="5" s="1"/>
  <c r="I74" i="5"/>
  <c r="J23" i="5" l="1"/>
  <c r="J46" i="5"/>
  <c r="J57" i="5" l="1"/>
  <c r="K29" i="5"/>
  <c r="K40" i="5" s="1"/>
  <c r="J63" i="5"/>
  <c r="K12" i="5" l="1"/>
  <c r="J74" i="5"/>
  <c r="J80" i="5"/>
  <c r="J91" i="5" s="1"/>
  <c r="K23" i="5" l="1"/>
  <c r="K46" i="5"/>
  <c r="K57" i="5" l="1"/>
  <c r="K63" i="5"/>
  <c r="L29" i="5"/>
  <c r="L40" i="5" s="1"/>
  <c r="K74" i="5" l="1"/>
  <c r="K80" i="5"/>
  <c r="K91" i="5" s="1"/>
  <c r="L12" i="5"/>
  <c r="L23" i="5" l="1"/>
  <c r="L46" i="5"/>
  <c r="M29" i="5" l="1"/>
  <c r="M40" i="5" s="1"/>
  <c r="L57" i="5"/>
  <c r="L63" i="5"/>
  <c r="M12" i="5" l="1"/>
  <c r="M23" i="5" s="1"/>
  <c r="L74" i="5"/>
  <c r="L80" i="5"/>
  <c r="L91" i="5" s="1"/>
  <c r="M46" i="5" l="1"/>
  <c r="N29" i="5" s="1"/>
  <c r="M57" i="5" l="1"/>
  <c r="N40" i="5"/>
  <c r="N12" i="5"/>
  <c r="N46" i="5" s="1"/>
  <c r="M63" i="5"/>
  <c r="M80" i="5" s="1"/>
  <c r="M91" i="5" s="1"/>
  <c r="M74" i="5"/>
  <c r="N23" i="5"/>
  <c r="N57" i="5" l="1"/>
  <c r="N63" i="5"/>
  <c r="O29" i="5"/>
  <c r="O40" i="5" l="1"/>
  <c r="O12" i="5"/>
  <c r="N74" i="5"/>
  <c r="N80" i="5"/>
  <c r="N91" i="5" s="1"/>
  <c r="O46" i="5" l="1"/>
  <c r="O23" i="5"/>
  <c r="O57" i="5" l="1"/>
  <c r="O63" i="5"/>
  <c r="P29" i="5"/>
  <c r="P40" i="5" l="1"/>
  <c r="P12" i="5"/>
  <c r="O74" i="5"/>
  <c r="O80" i="5"/>
  <c r="O91" i="5" s="1"/>
  <c r="P46" i="5" l="1"/>
  <c r="P23" i="5"/>
  <c r="P57" i="5" l="1"/>
  <c r="P63" i="5"/>
  <c r="P74" i="5" l="1"/>
  <c r="P80" i="5"/>
  <c r="P91" i="5" s="1"/>
  <c r="F52" i="1"/>
  <c r="G52" i="1"/>
  <c r="H52" i="1"/>
  <c r="I52" i="1"/>
  <c r="J52" i="1"/>
  <c r="K52" i="1"/>
  <c r="L52" i="1"/>
  <c r="M52" i="1"/>
  <c r="N52" i="1"/>
  <c r="O52" i="1"/>
  <c r="P52" i="1"/>
  <c r="F53" i="1"/>
  <c r="G53" i="1"/>
  <c r="H53" i="1"/>
  <c r="I53" i="1"/>
  <c r="J53" i="1"/>
  <c r="K53" i="1"/>
  <c r="L53" i="1"/>
  <c r="M53" i="1"/>
  <c r="N53" i="1"/>
  <c r="O53" i="1"/>
  <c r="P53" i="1"/>
  <c r="F54" i="1"/>
  <c r="G54" i="1"/>
  <c r="H54" i="1"/>
  <c r="I54" i="1"/>
  <c r="J54" i="1"/>
  <c r="K54" i="1"/>
  <c r="L54" i="1"/>
  <c r="M54" i="1"/>
  <c r="N54" i="1"/>
  <c r="O54" i="1"/>
  <c r="P54" i="1"/>
  <c r="F73" i="1"/>
  <c r="G73" i="1"/>
  <c r="H73" i="1"/>
  <c r="I73" i="1"/>
  <c r="J73" i="1"/>
  <c r="K73" i="1"/>
  <c r="L73" i="1"/>
  <c r="M73" i="1"/>
  <c r="N73" i="1"/>
  <c r="O73" i="1"/>
  <c r="P73" i="1"/>
  <c r="F74" i="1"/>
  <c r="G74" i="1"/>
  <c r="H74" i="1"/>
  <c r="I74" i="1"/>
  <c r="J74" i="1"/>
  <c r="K74" i="1"/>
  <c r="L74" i="1"/>
  <c r="M74" i="1"/>
  <c r="N74" i="1"/>
  <c r="O74" i="1"/>
  <c r="P74" i="1"/>
  <c r="F76" i="1"/>
  <c r="G76" i="1"/>
  <c r="H76" i="1"/>
  <c r="I76" i="1"/>
  <c r="J76" i="1"/>
  <c r="K76" i="1"/>
  <c r="L76" i="1"/>
  <c r="M76" i="1"/>
  <c r="N76" i="1"/>
  <c r="O76" i="1"/>
  <c r="P76" i="1"/>
  <c r="F77" i="1"/>
  <c r="G77" i="1"/>
  <c r="H77" i="1"/>
  <c r="I77" i="1"/>
  <c r="J77" i="1"/>
  <c r="K77" i="1"/>
  <c r="L77" i="1"/>
  <c r="M77" i="1"/>
  <c r="N77" i="1"/>
  <c r="O77" i="1"/>
  <c r="P77" i="1"/>
  <c r="F78" i="1"/>
  <c r="G78" i="1"/>
  <c r="H78" i="1"/>
  <c r="I78" i="1"/>
  <c r="J78" i="1"/>
  <c r="K78" i="1"/>
  <c r="L78" i="1"/>
  <c r="M78" i="1"/>
  <c r="N78" i="1"/>
  <c r="O78" i="1"/>
  <c r="P78" i="1"/>
  <c r="F79" i="1"/>
  <c r="G79" i="1"/>
  <c r="H79" i="1"/>
  <c r="I79" i="1"/>
  <c r="J79" i="1"/>
  <c r="K79" i="1"/>
  <c r="L79" i="1"/>
  <c r="M79" i="1"/>
  <c r="N79" i="1"/>
  <c r="O79" i="1"/>
  <c r="P79" i="1"/>
  <c r="F81" i="1"/>
  <c r="G81" i="1"/>
  <c r="H81" i="1"/>
  <c r="I81" i="1"/>
  <c r="J81" i="1"/>
  <c r="K81" i="1"/>
  <c r="L81" i="1"/>
  <c r="M81" i="1"/>
  <c r="N81" i="1"/>
  <c r="O81" i="1"/>
  <c r="P81" i="1"/>
  <c r="F82" i="1"/>
  <c r="G82" i="1"/>
  <c r="H82" i="1"/>
  <c r="I82" i="1"/>
  <c r="J82" i="1"/>
  <c r="K82" i="1"/>
  <c r="L82" i="1"/>
  <c r="M82" i="1"/>
  <c r="N82" i="1"/>
  <c r="O82" i="1"/>
  <c r="P82" i="1"/>
  <c r="F83" i="1"/>
  <c r="G83" i="1"/>
  <c r="H83" i="1"/>
  <c r="I83" i="1"/>
  <c r="J83" i="1"/>
  <c r="K83" i="1"/>
  <c r="L83" i="1"/>
  <c r="M83" i="1"/>
  <c r="N83" i="1"/>
  <c r="O83" i="1"/>
  <c r="P83" i="1"/>
  <c r="F84" i="1"/>
  <c r="G84" i="1"/>
  <c r="H84" i="1"/>
  <c r="I84" i="1"/>
  <c r="J84" i="1"/>
  <c r="K84" i="1"/>
  <c r="L84" i="1"/>
  <c r="M84" i="1"/>
  <c r="N84" i="1"/>
  <c r="O84" i="1"/>
  <c r="P84" i="1"/>
  <c r="F86" i="1"/>
  <c r="G86" i="1"/>
  <c r="H86" i="1"/>
  <c r="I86" i="1"/>
  <c r="J86" i="1"/>
  <c r="K86" i="1"/>
  <c r="L86" i="1"/>
  <c r="M86" i="1"/>
  <c r="N86" i="1"/>
  <c r="O86" i="1"/>
  <c r="P86" i="1"/>
  <c r="F104" i="1"/>
  <c r="G104" i="1"/>
  <c r="H104" i="1"/>
  <c r="I104" i="1"/>
  <c r="J104" i="1"/>
  <c r="K104" i="1"/>
  <c r="L104" i="1"/>
  <c r="M104" i="1"/>
  <c r="N104" i="1"/>
  <c r="O104" i="1"/>
  <c r="P104" i="1"/>
  <c r="F106" i="1"/>
  <c r="G106" i="1"/>
  <c r="H106" i="1"/>
  <c r="I106" i="1"/>
  <c r="J106" i="1"/>
  <c r="K106" i="1"/>
  <c r="L106" i="1"/>
  <c r="M106" i="1"/>
  <c r="N106" i="1"/>
  <c r="O106" i="1"/>
  <c r="P106" i="1"/>
  <c r="F110" i="1"/>
  <c r="G110" i="1"/>
  <c r="H110" i="1"/>
  <c r="I110" i="1"/>
  <c r="J110" i="1"/>
  <c r="K110" i="1"/>
  <c r="L110" i="1"/>
  <c r="M110" i="1"/>
  <c r="N110" i="1"/>
  <c r="O110" i="1"/>
  <c r="P110" i="1"/>
  <c r="F111" i="1"/>
  <c r="G111" i="1"/>
  <c r="H111" i="1"/>
  <c r="I111" i="1"/>
  <c r="J111" i="1"/>
  <c r="K111" i="1"/>
  <c r="L111" i="1"/>
  <c r="M111" i="1"/>
  <c r="N111" i="1"/>
  <c r="O111" i="1"/>
  <c r="P111" i="1"/>
  <c r="F112" i="1"/>
  <c r="G112" i="1"/>
  <c r="H112" i="1"/>
  <c r="I112" i="1"/>
  <c r="J112" i="1"/>
  <c r="K112" i="1"/>
  <c r="L112" i="1"/>
  <c r="M112" i="1"/>
  <c r="N112" i="1"/>
  <c r="O112" i="1"/>
  <c r="P112" i="1"/>
  <c r="F113" i="1"/>
  <c r="G113" i="1"/>
  <c r="H113" i="1"/>
  <c r="I113" i="1"/>
  <c r="J113" i="1"/>
  <c r="K113" i="1"/>
  <c r="L113" i="1"/>
  <c r="M113" i="1"/>
  <c r="N113" i="1"/>
  <c r="O113" i="1"/>
  <c r="P113" i="1"/>
  <c r="G122" i="1"/>
  <c r="H122" i="1"/>
  <c r="I122" i="1"/>
  <c r="J122" i="1"/>
  <c r="K122" i="1"/>
  <c r="L122" i="1"/>
  <c r="M122" i="1"/>
  <c r="N122" i="1"/>
  <c r="O122" i="1"/>
  <c r="P122" i="1"/>
  <c r="F123" i="1"/>
  <c r="G123" i="1"/>
  <c r="H123" i="1"/>
  <c r="I123" i="1"/>
  <c r="J123" i="1"/>
  <c r="K123" i="1"/>
  <c r="L123" i="1"/>
  <c r="M123" i="1"/>
  <c r="N123" i="1"/>
  <c r="O123" i="1"/>
  <c r="P123" i="1"/>
  <c r="F124" i="1"/>
  <c r="G124" i="1"/>
  <c r="H124" i="1"/>
  <c r="I124" i="1"/>
  <c r="J124" i="1"/>
  <c r="K124" i="1"/>
  <c r="L124" i="1"/>
  <c r="M124" i="1"/>
  <c r="N124" i="1"/>
  <c r="O124" i="1"/>
  <c r="P124" i="1"/>
  <c r="F128" i="1"/>
  <c r="G128" i="1"/>
  <c r="H128" i="1"/>
  <c r="I128" i="1"/>
  <c r="J128" i="1"/>
  <c r="K128" i="1"/>
  <c r="L128" i="1"/>
  <c r="M128" i="1"/>
  <c r="N128" i="1"/>
  <c r="O128" i="1"/>
  <c r="P128" i="1"/>
  <c r="F141" i="1"/>
  <c r="G141" i="1"/>
  <c r="H141" i="1"/>
  <c r="I141" i="1"/>
  <c r="J141" i="1"/>
  <c r="K141" i="1"/>
  <c r="L141" i="1"/>
  <c r="M141" i="1"/>
  <c r="N141" i="1"/>
  <c r="O141" i="1"/>
  <c r="P141" i="1"/>
  <c r="F142" i="1"/>
  <c r="G142" i="1"/>
  <c r="H142" i="1"/>
  <c r="I142" i="1"/>
  <c r="J142" i="1"/>
  <c r="K142" i="1"/>
  <c r="L142" i="1"/>
  <c r="M142" i="1"/>
  <c r="N142" i="1"/>
  <c r="O142" i="1"/>
  <c r="P142" i="1"/>
  <c r="F143" i="1"/>
  <c r="G143" i="1"/>
  <c r="H143" i="1"/>
  <c r="I143" i="1"/>
  <c r="J143" i="1"/>
  <c r="K143" i="1"/>
  <c r="L143" i="1"/>
  <c r="M143" i="1"/>
  <c r="N143" i="1"/>
  <c r="O143" i="1"/>
  <c r="P143" i="1"/>
  <c r="F144" i="1"/>
  <c r="G144" i="1"/>
  <c r="H144" i="1"/>
  <c r="I144" i="1"/>
  <c r="J144" i="1"/>
  <c r="K144" i="1"/>
  <c r="L144" i="1"/>
  <c r="M144" i="1"/>
  <c r="N144" i="1"/>
  <c r="O144" i="1"/>
  <c r="P144" i="1"/>
  <c r="F146" i="1"/>
  <c r="G146" i="1"/>
  <c r="H146" i="1"/>
  <c r="I146" i="1"/>
  <c r="J146" i="1"/>
  <c r="K146" i="1"/>
  <c r="L146" i="1"/>
  <c r="M146" i="1"/>
  <c r="N146" i="1"/>
  <c r="O146" i="1"/>
  <c r="P146" i="1"/>
  <c r="F147" i="1"/>
  <c r="G147" i="1"/>
  <c r="H147" i="1"/>
  <c r="I147" i="1"/>
  <c r="J147" i="1"/>
  <c r="K147" i="1"/>
  <c r="L147" i="1"/>
  <c r="M147" i="1"/>
  <c r="N147" i="1"/>
  <c r="O147" i="1"/>
  <c r="P147" i="1"/>
  <c r="F148" i="1"/>
  <c r="G148" i="1"/>
  <c r="H148" i="1"/>
  <c r="I148" i="1"/>
  <c r="J148" i="1"/>
  <c r="K148" i="1"/>
  <c r="L148" i="1"/>
  <c r="M148" i="1"/>
  <c r="N148" i="1"/>
  <c r="O148" i="1"/>
  <c r="P148" i="1"/>
  <c r="F149" i="1"/>
  <c r="G149" i="1"/>
  <c r="H149" i="1"/>
  <c r="I149" i="1"/>
  <c r="J149" i="1"/>
  <c r="K149" i="1"/>
  <c r="L149" i="1"/>
  <c r="M149" i="1"/>
  <c r="N149" i="1"/>
  <c r="O149" i="1"/>
  <c r="P149" i="1"/>
  <c r="F150" i="1"/>
  <c r="G150" i="1"/>
  <c r="H150" i="1"/>
  <c r="I150" i="1"/>
  <c r="J150" i="1"/>
  <c r="K150" i="1"/>
  <c r="L150" i="1"/>
  <c r="M150" i="1"/>
  <c r="N150" i="1"/>
  <c r="O150" i="1"/>
  <c r="P150" i="1"/>
  <c r="F154" i="1"/>
  <c r="G154" i="1"/>
  <c r="H154" i="1"/>
  <c r="I154" i="1"/>
  <c r="J154" i="1"/>
  <c r="K154" i="1"/>
  <c r="L154" i="1"/>
  <c r="M154" i="1"/>
  <c r="N154" i="1"/>
  <c r="O154" i="1"/>
  <c r="P154" i="1"/>
  <c r="F157" i="1"/>
  <c r="G157" i="1"/>
  <c r="H157" i="1"/>
  <c r="I157" i="1"/>
  <c r="J157" i="1"/>
  <c r="K157" i="1"/>
  <c r="L157" i="1"/>
  <c r="M157" i="1"/>
  <c r="N157" i="1"/>
  <c r="O157" i="1"/>
  <c r="P157" i="1"/>
  <c r="F159" i="1"/>
  <c r="G159" i="1"/>
  <c r="H159" i="1"/>
  <c r="I159" i="1"/>
  <c r="J159" i="1"/>
  <c r="K159" i="1"/>
  <c r="L159" i="1"/>
  <c r="M159" i="1"/>
  <c r="N159" i="1"/>
  <c r="O159" i="1"/>
  <c r="P159" i="1"/>
  <c r="F160" i="1"/>
  <c r="G160" i="1"/>
  <c r="H160" i="1"/>
  <c r="I160" i="1"/>
  <c r="J160" i="1"/>
  <c r="K160" i="1"/>
  <c r="L160" i="1"/>
  <c r="M160" i="1"/>
  <c r="N160" i="1"/>
  <c r="O160" i="1"/>
  <c r="P160" i="1"/>
  <c r="F162" i="1"/>
  <c r="G162" i="1"/>
  <c r="H162" i="1"/>
  <c r="I162" i="1"/>
  <c r="J162" i="1"/>
  <c r="K162" i="1"/>
  <c r="L162" i="1"/>
  <c r="M162" i="1"/>
  <c r="N162" i="1"/>
  <c r="O162" i="1"/>
  <c r="P162" i="1"/>
  <c r="F163" i="1"/>
  <c r="G163" i="1"/>
  <c r="H163" i="1"/>
  <c r="I163" i="1"/>
  <c r="J163" i="1"/>
  <c r="K163" i="1"/>
  <c r="L163" i="1"/>
  <c r="M163" i="1"/>
  <c r="N163" i="1"/>
  <c r="O163" i="1"/>
  <c r="P163" i="1"/>
  <c r="F166" i="1"/>
  <c r="G166" i="1"/>
  <c r="H166" i="1"/>
  <c r="I166" i="1"/>
  <c r="J166" i="1"/>
  <c r="K166" i="1"/>
  <c r="L166" i="1"/>
  <c r="M166" i="1"/>
  <c r="N166" i="1"/>
  <c r="O166" i="1"/>
  <c r="P166" i="1"/>
  <c r="F167" i="1"/>
  <c r="G167" i="1"/>
  <c r="H167" i="1"/>
  <c r="I167" i="1"/>
  <c r="J167" i="1"/>
  <c r="K167" i="1"/>
  <c r="L167" i="1"/>
  <c r="M167" i="1"/>
  <c r="N167" i="1"/>
  <c r="O167" i="1"/>
  <c r="P167" i="1"/>
  <c r="F168" i="1"/>
  <c r="G168" i="1"/>
  <c r="H168" i="1"/>
  <c r="I168" i="1"/>
  <c r="J168" i="1"/>
  <c r="K168" i="1"/>
  <c r="L168" i="1"/>
  <c r="M168" i="1"/>
  <c r="N168" i="1"/>
  <c r="O168" i="1"/>
  <c r="P168" i="1"/>
  <c r="F169" i="1"/>
  <c r="G169" i="1"/>
  <c r="H169" i="1"/>
  <c r="I169" i="1"/>
  <c r="J169" i="1"/>
  <c r="K169" i="1"/>
  <c r="L169" i="1"/>
  <c r="M169" i="1"/>
  <c r="N169" i="1"/>
  <c r="O169" i="1"/>
  <c r="P169" i="1"/>
  <c r="F170" i="1"/>
  <c r="G170" i="1"/>
  <c r="H170" i="1"/>
  <c r="I170" i="1"/>
  <c r="J170" i="1"/>
  <c r="K170" i="1"/>
  <c r="L170" i="1"/>
  <c r="M170" i="1"/>
  <c r="N170" i="1"/>
  <c r="O170" i="1"/>
  <c r="P170" i="1"/>
  <c r="F171" i="1"/>
  <c r="G171" i="1"/>
  <c r="H171" i="1"/>
  <c r="I171" i="1"/>
  <c r="J171" i="1"/>
  <c r="K171" i="1"/>
  <c r="L171" i="1"/>
  <c r="M171" i="1"/>
  <c r="N171" i="1"/>
  <c r="O171" i="1"/>
  <c r="P171" i="1"/>
  <c r="F175" i="1"/>
  <c r="G175" i="1"/>
  <c r="H175" i="1"/>
  <c r="I175" i="1"/>
  <c r="J175" i="1"/>
  <c r="K175" i="1"/>
  <c r="L175" i="1"/>
  <c r="M175" i="1"/>
  <c r="N175" i="1"/>
  <c r="O175" i="1"/>
  <c r="P175" i="1"/>
  <c r="F176" i="1"/>
  <c r="G176" i="1"/>
  <c r="H176" i="1"/>
  <c r="I176" i="1"/>
  <c r="J176" i="1"/>
  <c r="K176" i="1"/>
  <c r="L176" i="1"/>
  <c r="M176" i="1"/>
  <c r="N176" i="1"/>
  <c r="O176" i="1"/>
  <c r="P176" i="1"/>
  <c r="F178" i="1"/>
  <c r="G178" i="1"/>
  <c r="H178" i="1"/>
  <c r="I178" i="1"/>
  <c r="J178" i="1"/>
  <c r="K178" i="1"/>
  <c r="L178" i="1"/>
  <c r="M178" i="1"/>
  <c r="N178" i="1"/>
  <c r="O178" i="1"/>
  <c r="P178" i="1"/>
  <c r="F179" i="1"/>
  <c r="G179" i="1"/>
  <c r="H179" i="1"/>
  <c r="I179" i="1"/>
  <c r="J179" i="1"/>
  <c r="K179" i="1"/>
  <c r="L179" i="1"/>
  <c r="M179" i="1"/>
  <c r="N179" i="1"/>
  <c r="O179" i="1"/>
  <c r="P179" i="1"/>
  <c r="F233" i="1"/>
  <c r="G233" i="1"/>
  <c r="H233" i="1"/>
  <c r="I233" i="1"/>
  <c r="J233" i="1"/>
  <c r="K233" i="1"/>
  <c r="L233" i="1"/>
  <c r="M233" i="1"/>
  <c r="N233" i="1"/>
  <c r="O233" i="1"/>
  <c r="P233" i="1"/>
  <c r="F235" i="1"/>
  <c r="G235" i="1"/>
  <c r="H235" i="1"/>
  <c r="I235" i="1"/>
  <c r="J235" i="1"/>
  <c r="K235" i="1"/>
  <c r="L235" i="1"/>
  <c r="M235" i="1"/>
  <c r="N235" i="1"/>
  <c r="O235" i="1"/>
  <c r="P235" i="1"/>
  <c r="F238" i="1"/>
  <c r="G238" i="1"/>
  <c r="H238" i="1"/>
  <c r="I238" i="1"/>
  <c r="J238" i="1"/>
  <c r="K238" i="1"/>
  <c r="L238" i="1"/>
  <c r="M238" i="1"/>
  <c r="N238" i="1"/>
  <c r="O238" i="1"/>
  <c r="P238" i="1"/>
  <c r="F240" i="1"/>
  <c r="G240" i="1"/>
  <c r="H240" i="1"/>
  <c r="I240" i="1"/>
  <c r="J240" i="1"/>
  <c r="K240" i="1"/>
  <c r="L240" i="1"/>
  <c r="M240" i="1"/>
  <c r="N240" i="1"/>
  <c r="O240" i="1"/>
  <c r="P240" i="1"/>
  <c r="F243" i="1"/>
  <c r="G243" i="1"/>
  <c r="H243" i="1"/>
  <c r="I243" i="1"/>
  <c r="J243" i="1"/>
  <c r="K243" i="1"/>
  <c r="L243" i="1"/>
  <c r="M243" i="1"/>
  <c r="N243" i="1"/>
  <c r="O243" i="1"/>
  <c r="P243" i="1"/>
  <c r="F247" i="1"/>
  <c r="G247" i="1"/>
  <c r="H247" i="1"/>
  <c r="I247" i="1"/>
  <c r="J247" i="1"/>
  <c r="K247" i="1"/>
  <c r="L247" i="1"/>
  <c r="M247" i="1"/>
  <c r="N247" i="1"/>
  <c r="O247" i="1"/>
  <c r="P247" i="1"/>
  <c r="F250" i="1"/>
  <c r="G250" i="1"/>
  <c r="H250" i="1"/>
  <c r="I250" i="1"/>
  <c r="J250" i="1"/>
  <c r="K250" i="1"/>
  <c r="L250" i="1"/>
  <c r="M250" i="1"/>
  <c r="N250" i="1"/>
  <c r="O250" i="1"/>
  <c r="P250" i="1"/>
  <c r="F252" i="1"/>
  <c r="G252" i="1"/>
  <c r="H252" i="1"/>
  <c r="I252" i="1"/>
  <c r="J252" i="1"/>
  <c r="K252" i="1"/>
  <c r="L252" i="1"/>
  <c r="M252" i="1"/>
  <c r="N252" i="1"/>
  <c r="O252" i="1"/>
  <c r="P252" i="1"/>
  <c r="G267" i="1"/>
  <c r="H267" i="1"/>
  <c r="I267" i="1"/>
  <c r="J267" i="1"/>
  <c r="K267" i="1"/>
  <c r="L267" i="1"/>
  <c r="M267" i="1"/>
  <c r="N267" i="1"/>
  <c r="O267" i="1"/>
  <c r="P267" i="1"/>
  <c r="F268" i="1"/>
  <c r="G268" i="1"/>
  <c r="H268" i="1"/>
  <c r="I268" i="1"/>
  <c r="J268" i="1"/>
  <c r="K268" i="1"/>
  <c r="L268" i="1"/>
  <c r="M268" i="1"/>
  <c r="N268" i="1"/>
  <c r="O268" i="1"/>
  <c r="P268" i="1"/>
  <c r="F270" i="1"/>
  <c r="G270" i="1"/>
  <c r="H270" i="1"/>
  <c r="I270" i="1"/>
  <c r="J270" i="1"/>
  <c r="K270" i="1"/>
  <c r="L270" i="1"/>
  <c r="M270" i="1"/>
  <c r="N270" i="1"/>
  <c r="O270" i="1"/>
  <c r="P270" i="1"/>
  <c r="F274" i="1"/>
  <c r="G274" i="1"/>
  <c r="H274" i="1"/>
  <c r="I274" i="1"/>
  <c r="J274" i="1"/>
  <c r="K274" i="1"/>
  <c r="L274" i="1"/>
  <c r="M274" i="1"/>
  <c r="N274" i="1"/>
  <c r="O274" i="1"/>
  <c r="P274" i="1"/>
  <c r="F277" i="1"/>
  <c r="G277" i="1"/>
  <c r="H277" i="1"/>
  <c r="I277" i="1"/>
  <c r="J277" i="1"/>
  <c r="K277" i="1"/>
  <c r="L277" i="1"/>
  <c r="M277" i="1"/>
  <c r="N277" i="1"/>
  <c r="O277" i="1"/>
  <c r="P277" i="1"/>
  <c r="G278" i="1"/>
  <c r="H278" i="1"/>
  <c r="I278" i="1"/>
  <c r="J278" i="1"/>
  <c r="K278" i="1"/>
  <c r="L278" i="1"/>
  <c r="M278" i="1"/>
  <c r="N278" i="1"/>
  <c r="O278" i="1"/>
  <c r="P278" i="1"/>
  <c r="G279" i="1"/>
  <c r="H279" i="1"/>
  <c r="I279" i="1"/>
  <c r="J279" i="1"/>
  <c r="K279" i="1"/>
  <c r="L279" i="1"/>
  <c r="M279" i="1"/>
  <c r="N279" i="1"/>
  <c r="O279" i="1"/>
  <c r="P279" i="1"/>
  <c r="F311" i="1"/>
  <c r="G311" i="1"/>
  <c r="H311" i="1"/>
  <c r="I311" i="1"/>
  <c r="J311" i="1"/>
  <c r="K311" i="1"/>
  <c r="L311" i="1"/>
  <c r="M311" i="1"/>
  <c r="N311" i="1"/>
  <c r="O311" i="1"/>
  <c r="P311" i="1"/>
  <c r="F312" i="1"/>
  <c r="G312" i="1"/>
  <c r="H312" i="1"/>
  <c r="I312" i="1"/>
  <c r="J312" i="1"/>
  <c r="K312" i="1"/>
  <c r="L312" i="1"/>
  <c r="M312" i="1"/>
  <c r="N312" i="1"/>
  <c r="O312" i="1"/>
  <c r="P312" i="1"/>
  <c r="F313" i="1"/>
  <c r="G313" i="1"/>
  <c r="H313" i="1"/>
  <c r="I313" i="1"/>
  <c r="J313" i="1"/>
  <c r="K313" i="1"/>
  <c r="L313" i="1"/>
  <c r="M313" i="1"/>
  <c r="N313" i="1"/>
  <c r="O313" i="1"/>
  <c r="P313" i="1"/>
  <c r="F314" i="1"/>
  <c r="G314" i="1"/>
  <c r="H314" i="1"/>
  <c r="I314" i="1"/>
  <c r="J314" i="1"/>
  <c r="K314" i="1"/>
  <c r="L314" i="1"/>
  <c r="M314" i="1"/>
  <c r="N314" i="1"/>
  <c r="O314" i="1"/>
  <c r="P314" i="1"/>
  <c r="F315" i="1"/>
  <c r="G315" i="1"/>
  <c r="H315" i="1"/>
  <c r="I315" i="1"/>
  <c r="J315" i="1"/>
  <c r="K315" i="1"/>
  <c r="L315" i="1"/>
  <c r="M315" i="1"/>
  <c r="N315" i="1"/>
  <c r="O315" i="1"/>
  <c r="P315" i="1"/>
  <c r="F316" i="1"/>
  <c r="G316" i="1"/>
  <c r="H316" i="1"/>
  <c r="I316" i="1"/>
  <c r="J316" i="1"/>
  <c r="K316" i="1"/>
  <c r="L316" i="1"/>
  <c r="M316" i="1"/>
  <c r="N316" i="1"/>
  <c r="O316" i="1"/>
  <c r="P316" i="1"/>
  <c r="F318" i="1"/>
  <c r="G318" i="1"/>
  <c r="H318" i="1"/>
  <c r="I318" i="1"/>
  <c r="J318" i="1"/>
  <c r="K318" i="1"/>
  <c r="L318" i="1"/>
  <c r="M318" i="1"/>
  <c r="N318" i="1"/>
  <c r="O318" i="1"/>
  <c r="P318" i="1"/>
  <c r="F319" i="1"/>
  <c r="G319" i="1"/>
  <c r="H319" i="1"/>
  <c r="I319" i="1"/>
  <c r="J319" i="1"/>
  <c r="K319" i="1"/>
  <c r="L319" i="1"/>
  <c r="M319" i="1"/>
  <c r="N319" i="1"/>
  <c r="O319" i="1"/>
  <c r="P319" i="1"/>
  <c r="F320" i="1"/>
  <c r="G320" i="1"/>
  <c r="H320" i="1"/>
  <c r="I320" i="1"/>
  <c r="J320" i="1"/>
  <c r="K320" i="1"/>
  <c r="L320" i="1"/>
  <c r="M320" i="1"/>
  <c r="N320" i="1"/>
  <c r="O320" i="1"/>
  <c r="P320" i="1"/>
  <c r="F321" i="1"/>
  <c r="G321" i="1"/>
  <c r="H321" i="1"/>
  <c r="I321" i="1"/>
  <c r="J321" i="1"/>
  <c r="K321" i="1"/>
  <c r="L321" i="1"/>
  <c r="M321" i="1"/>
  <c r="N321" i="1"/>
  <c r="O321" i="1"/>
  <c r="P321" i="1"/>
  <c r="E330" i="1"/>
  <c r="F337" i="1"/>
  <c r="G337" i="1"/>
  <c r="H337" i="1"/>
  <c r="I337" i="1"/>
  <c r="J337" i="1"/>
  <c r="K337" i="1"/>
  <c r="L337" i="1"/>
  <c r="M337" i="1"/>
  <c r="N337" i="1"/>
  <c r="O337" i="1"/>
  <c r="P337" i="1"/>
  <c r="F338" i="1"/>
  <c r="G338" i="1"/>
  <c r="H338" i="1"/>
  <c r="I338" i="1"/>
  <c r="J338" i="1"/>
  <c r="K338" i="1"/>
  <c r="L338" i="1"/>
  <c r="M338" i="1"/>
  <c r="N338" i="1"/>
  <c r="O338" i="1"/>
  <c r="P338" i="1"/>
  <c r="F339" i="1"/>
  <c r="G339" i="1"/>
  <c r="H339" i="1"/>
  <c r="I339" i="1"/>
  <c r="J339" i="1"/>
  <c r="K339" i="1"/>
  <c r="L339" i="1"/>
  <c r="M339" i="1"/>
  <c r="N339" i="1"/>
  <c r="O339" i="1"/>
  <c r="F340" i="1"/>
  <c r="G340" i="1"/>
  <c r="H340" i="1"/>
  <c r="I340" i="1"/>
  <c r="J340" i="1"/>
  <c r="K340" i="1"/>
  <c r="L340" i="1"/>
  <c r="M340" i="1"/>
  <c r="N340" i="1"/>
  <c r="O340" i="1"/>
  <c r="F347" i="1"/>
  <c r="G347" i="1"/>
  <c r="H347" i="1"/>
  <c r="I347" i="1"/>
  <c r="J347" i="1"/>
  <c r="K347" i="1"/>
  <c r="L347" i="1"/>
  <c r="M347" i="1"/>
  <c r="N347" i="1"/>
  <c r="O347" i="1"/>
  <c r="F348" i="1"/>
  <c r="G348" i="1"/>
  <c r="H348" i="1"/>
  <c r="I348" i="1"/>
  <c r="J348" i="1"/>
  <c r="K348" i="1"/>
  <c r="L348" i="1"/>
  <c r="M348" i="1"/>
  <c r="N348" i="1"/>
  <c r="O348" i="1"/>
  <c r="P348" i="1"/>
  <c r="F349" i="1"/>
  <c r="G349" i="1"/>
  <c r="H349" i="1"/>
  <c r="I349" i="1"/>
  <c r="J349" i="1"/>
  <c r="K349" i="1"/>
  <c r="L349" i="1"/>
  <c r="M349" i="1"/>
  <c r="N349" i="1"/>
  <c r="O349" i="1"/>
  <c r="P349" i="1"/>
  <c r="F350" i="1"/>
  <c r="G350" i="1"/>
  <c r="H350" i="1"/>
  <c r="I350" i="1"/>
  <c r="J350" i="1"/>
  <c r="K350" i="1"/>
  <c r="L350" i="1"/>
  <c r="M350" i="1"/>
  <c r="N350" i="1"/>
  <c r="O350" i="1"/>
  <c r="P350" i="1"/>
  <c r="F354" i="1"/>
  <c r="G354" i="1"/>
  <c r="H354" i="1"/>
  <c r="I354" i="1"/>
  <c r="J354" i="1"/>
  <c r="J355" i="1"/>
  <c r="F356" i="1"/>
  <c r="G356" i="1"/>
  <c r="H356" i="1"/>
  <c r="I356" i="1"/>
  <c r="J356" i="1"/>
  <c r="E357" i="1"/>
  <c r="E358" i="1"/>
  <c r="F362" i="1"/>
  <c r="G362" i="1"/>
  <c r="H362" i="1"/>
  <c r="I362" i="1"/>
  <c r="J362" i="1"/>
  <c r="J364" i="1"/>
  <c r="F366" i="1"/>
  <c r="G366" i="1"/>
  <c r="H366" i="1"/>
  <c r="I366" i="1"/>
  <c r="J366" i="1"/>
  <c r="E367" i="1"/>
  <c r="E368" i="1"/>
  <c r="C375" i="1"/>
  <c r="J375" i="1"/>
  <c r="C376" i="1"/>
  <c r="J376" i="1"/>
  <c r="C385" i="1"/>
  <c r="J385" i="1"/>
  <c r="C386" i="1"/>
  <c r="J386" i="1"/>
  <c r="C387" i="1"/>
  <c r="J387" i="1"/>
  <c r="C388" i="1"/>
  <c r="J388" i="1"/>
  <c r="C389" i="1"/>
  <c r="J389" i="1"/>
  <c r="C390" i="1"/>
  <c r="J390" i="1"/>
  <c r="C391" i="1"/>
  <c r="J391" i="1"/>
  <c r="G397" i="1"/>
  <c r="H397" i="1"/>
  <c r="I397" i="1"/>
  <c r="J397" i="1"/>
  <c r="K397" i="1"/>
  <c r="L397" i="1"/>
  <c r="M397" i="1"/>
  <c r="N397" i="1"/>
  <c r="O397" i="1"/>
  <c r="P397" i="1"/>
  <c r="G400" i="1"/>
  <c r="H400" i="1"/>
  <c r="I400" i="1"/>
  <c r="J400" i="1"/>
  <c r="K400" i="1"/>
  <c r="L400" i="1"/>
  <c r="M400" i="1"/>
  <c r="N400" i="1"/>
  <c r="O400" i="1"/>
  <c r="P400" i="1"/>
  <c r="F401" i="1"/>
  <c r="G401" i="1"/>
  <c r="H401" i="1"/>
  <c r="I401" i="1"/>
  <c r="J401" i="1"/>
  <c r="K401" i="1"/>
  <c r="L401" i="1"/>
  <c r="M401" i="1"/>
  <c r="N401" i="1"/>
  <c r="O401" i="1"/>
  <c r="C13" i="2"/>
  <c r="D13" i="2"/>
  <c r="E13" i="2"/>
  <c r="F13" i="2"/>
  <c r="G13" i="2"/>
  <c r="H13" i="2"/>
  <c r="K13" i="2"/>
  <c r="C16" i="2"/>
  <c r="D16" i="2"/>
  <c r="E16" i="2"/>
  <c r="F16" i="2"/>
  <c r="G16" i="2"/>
  <c r="H16" i="2"/>
  <c r="K16" i="2"/>
  <c r="C17" i="2"/>
  <c r="D17" i="2"/>
  <c r="E17" i="2"/>
  <c r="F17" i="2"/>
  <c r="G17" i="2"/>
  <c r="H17" i="2"/>
  <c r="K17" i="2"/>
  <c r="C21" i="2"/>
  <c r="D21" i="2"/>
  <c r="E21" i="2"/>
  <c r="F21" i="2"/>
  <c r="G21" i="2"/>
  <c r="H21" i="2"/>
  <c r="K21" i="2"/>
  <c r="C22" i="2"/>
  <c r="D22" i="2"/>
  <c r="E22" i="2"/>
  <c r="F22" i="2"/>
  <c r="G22" i="2"/>
  <c r="H22" i="2"/>
  <c r="K22" i="2"/>
  <c r="C23" i="2"/>
  <c r="D23" i="2"/>
  <c r="E23" i="2"/>
  <c r="F23" i="2"/>
  <c r="G23" i="2"/>
  <c r="H23" i="2"/>
  <c r="K23" i="2"/>
  <c r="C24" i="2"/>
  <c r="D24" i="2"/>
  <c r="E24" i="2"/>
  <c r="F24" i="2"/>
  <c r="G24" i="2"/>
  <c r="H24" i="2"/>
  <c r="K24" i="2"/>
  <c r="C25" i="2"/>
  <c r="D25" i="2"/>
  <c r="E25" i="2"/>
  <c r="F25" i="2"/>
  <c r="G25" i="2"/>
  <c r="H25" i="2"/>
  <c r="K25" i="2"/>
  <c r="C26" i="2"/>
  <c r="D26" i="2"/>
  <c r="E26" i="2"/>
  <c r="F26" i="2"/>
  <c r="G26" i="2"/>
  <c r="H26" i="2"/>
  <c r="K26" i="2"/>
  <c r="C27" i="2"/>
  <c r="D27" i="2"/>
  <c r="E27" i="2"/>
  <c r="F27" i="2"/>
  <c r="G27" i="2"/>
  <c r="H27" i="2"/>
  <c r="K27" i="2"/>
</calcChain>
</file>

<file path=xl/sharedStrings.xml><?xml version="1.0" encoding="utf-8"?>
<sst xmlns="http://schemas.openxmlformats.org/spreadsheetml/2006/main" count="431" uniqueCount="273">
  <si>
    <t>Standard Operating Model</t>
  </si>
  <si>
    <t>X</t>
  </si>
  <si>
    <t>Period</t>
  </si>
  <si>
    <t>Loans</t>
  </si>
  <si>
    <t>BOP Balance</t>
  </si>
  <si>
    <t>Originations</t>
  </si>
  <si>
    <t>Net-Charge Offs</t>
  </si>
  <si>
    <t>EOP Balance</t>
  </si>
  <si>
    <t>Average Balance</t>
  </si>
  <si>
    <t>New Volume</t>
  </si>
  <si>
    <t>Amortization/Prepayment</t>
  </si>
  <si>
    <t>Net Charge-Offs</t>
  </si>
  <si>
    <t>Roll-Forward:</t>
  </si>
  <si>
    <t>Interest Income</t>
  </si>
  <si>
    <t>FINANCIAL STATEMENTS</t>
  </si>
  <si>
    <t>Interest Expense</t>
  </si>
  <si>
    <t>Net Interest Income Before Provisions</t>
  </si>
  <si>
    <t>Loan Loss Provision</t>
  </si>
  <si>
    <t>Net Interest Income After Provisions</t>
  </si>
  <si>
    <t>Non-Interest Income</t>
  </si>
  <si>
    <t>Operating Expense</t>
  </si>
  <si>
    <t>Amortization</t>
  </si>
  <si>
    <t>Total Revenue</t>
  </si>
  <si>
    <t>Total Expense</t>
  </si>
  <si>
    <t>Pre-Tax Income</t>
  </si>
  <si>
    <t>Tax Provision</t>
  </si>
  <si>
    <t>Net Income</t>
  </si>
  <si>
    <t>Preferred Dividends</t>
  </si>
  <si>
    <t>Net Income to Common</t>
  </si>
  <si>
    <t>Balance Sheet</t>
  </si>
  <si>
    <t>Cash and Equivalents</t>
  </si>
  <si>
    <t>Securities</t>
  </si>
  <si>
    <t>Loans, Gross</t>
  </si>
  <si>
    <t>Loans, Net</t>
  </si>
  <si>
    <t>Fixed Assets</t>
  </si>
  <si>
    <t>Goodwill</t>
  </si>
  <si>
    <t>Other Intangibles (CDI)</t>
  </si>
  <si>
    <t>Other Assets</t>
  </si>
  <si>
    <t>Total Assets</t>
  </si>
  <si>
    <t>Assets:</t>
  </si>
  <si>
    <t>Liabilities:</t>
  </si>
  <si>
    <t>Deposits</t>
  </si>
  <si>
    <t>Borrowings</t>
  </si>
  <si>
    <t>Other Liabilities</t>
  </si>
  <si>
    <t>Total Liabilities</t>
  </si>
  <si>
    <t>Equity:</t>
  </si>
  <si>
    <t>Preferred Equity</t>
  </si>
  <si>
    <t>Common Equity</t>
  </si>
  <si>
    <t>Total Equity</t>
  </si>
  <si>
    <t>Check</t>
  </si>
  <si>
    <t>Loan Loss Reserve</t>
  </si>
  <si>
    <t>Reserve/Loans</t>
  </si>
  <si>
    <t>Funding</t>
  </si>
  <si>
    <t>Other Real Estate Owned</t>
  </si>
  <si>
    <t>Opening</t>
  </si>
  <si>
    <t>FLAT</t>
  </si>
  <si>
    <t>B/S Growth</t>
  </si>
  <si>
    <t>Roll Forward</t>
  </si>
  <si>
    <t>ASSUMPTIONS</t>
  </si>
  <si>
    <t>Securities as % of Assets</t>
  </si>
  <si>
    <t>PLUG</t>
  </si>
  <si>
    <t>Constant % of B/S</t>
  </si>
  <si>
    <t>Deposit Growth</t>
  </si>
  <si>
    <t>Other Asset Growth</t>
  </si>
  <si>
    <t>Other Balance Sheet Assumptions</t>
  </si>
  <si>
    <t>Fee Income Ratio</t>
  </si>
  <si>
    <t>Efficiency Ratio</t>
  </si>
  <si>
    <t>Tax Rate</t>
  </si>
  <si>
    <t>Capital</t>
  </si>
  <si>
    <t>Dividends</t>
  </si>
  <si>
    <t>Repurchases</t>
  </si>
  <si>
    <t>Issuance</t>
  </si>
  <si>
    <t>Other</t>
  </si>
  <si>
    <t>Other Balances</t>
  </si>
  <si>
    <t>Interest Earning Assets</t>
  </si>
  <si>
    <t>Average Interest Earning Assets</t>
  </si>
  <si>
    <t>Tangible Common Equity</t>
  </si>
  <si>
    <t>Average Tangible Common Equity</t>
  </si>
  <si>
    <t>Average Common Equity</t>
  </si>
  <si>
    <t>Interest Bearing Liabilities</t>
  </si>
  <si>
    <t>Average Interest Bearing Liabilities</t>
  </si>
  <si>
    <t>Key Metrics</t>
  </si>
  <si>
    <t>Net Interest Margin</t>
  </si>
  <si>
    <t>Fee Income</t>
  </si>
  <si>
    <t>Pre-Provision Net Revenue</t>
  </si>
  <si>
    <t>ROAA</t>
  </si>
  <si>
    <t>ROACE</t>
  </si>
  <si>
    <t>ROATCE</t>
  </si>
  <si>
    <t>Cash Net Income</t>
  </si>
  <si>
    <t>Deposit Balance</t>
  </si>
  <si>
    <t>Deposit Cost</t>
  </si>
  <si>
    <t>Borrowing Balance</t>
  </si>
  <si>
    <t>Average Total Assets</t>
  </si>
  <si>
    <t>Expenses as % of Average Assets</t>
  </si>
  <si>
    <t>Tier 1 Capital</t>
  </si>
  <si>
    <t>Tier 1 Common Capital</t>
  </si>
  <si>
    <t>Total Capital</t>
  </si>
  <si>
    <t>Regulatory and GAAP Capital</t>
  </si>
  <si>
    <t>Risk Weightings:</t>
  </si>
  <si>
    <t>Total Risk Weighted Assets</t>
  </si>
  <si>
    <t>No sub-debt. ALLL up to 1.25 of RWA</t>
  </si>
  <si>
    <t>Equals tangible common equity</t>
  </si>
  <si>
    <t>Equals tangible equity</t>
  </si>
  <si>
    <t xml:space="preserve">Tier 1 Common Ratio </t>
  </si>
  <si>
    <t>Tier 1 Risk-Based Ratio</t>
  </si>
  <si>
    <t>Tier 1 Leverage Ratio</t>
  </si>
  <si>
    <t>Total Capital Ratio</t>
  </si>
  <si>
    <t>Tangible Common Ratio</t>
  </si>
  <si>
    <t>Tangible Assets</t>
  </si>
  <si>
    <t>Securities Yield</t>
  </si>
  <si>
    <t>Loan Yield</t>
  </si>
  <si>
    <t>Securities Balance</t>
  </si>
  <si>
    <t>Other Income Statement Assumptions</t>
  </si>
  <si>
    <t>Interest Income on Loans</t>
  </si>
  <si>
    <t>Cash Yield</t>
  </si>
  <si>
    <t>Interest Income on Securities and Cash</t>
  </si>
  <si>
    <t>Loan/Deposits</t>
  </si>
  <si>
    <t>Cash and Securities as a % of Total Assets</t>
  </si>
  <si>
    <t>KEY METRICS AND SUPPORTING SCHEDULES</t>
  </si>
  <si>
    <t>Asset Growth</t>
  </si>
  <si>
    <t>Transaction Assumptions:</t>
  </si>
  <si>
    <t>Acquisitions P/TBV</t>
  </si>
  <si>
    <t>Transaction Value</t>
  </si>
  <si>
    <t>Tangible Common Equity Target</t>
  </si>
  <si>
    <t>Excess Tangible Common Equity Target</t>
  </si>
  <si>
    <t>Return on Target Tangible Common Equity</t>
  </si>
  <si>
    <t>Total Tangible Common Equity</t>
  </si>
  <si>
    <t>Exit Year</t>
  </si>
  <si>
    <t>Exit Multiple (P/E)</t>
  </si>
  <si>
    <t>Exit Value</t>
  </si>
  <si>
    <t>Total Cash Flows</t>
  </si>
  <si>
    <t>Implied P/TBV</t>
  </si>
  <si>
    <t>IRR</t>
  </si>
  <si>
    <t>Purchase Price</t>
  </si>
  <si>
    <t>Long Term Growth</t>
  </si>
  <si>
    <t>Cost of Capital</t>
  </si>
  <si>
    <t>Gordon Growth Implied P/E</t>
  </si>
  <si>
    <t>Multiple of Invested Capital</t>
  </si>
  <si>
    <t>Dividend Payout Ratio</t>
  </si>
  <si>
    <t>Total Liabilities and Equity</t>
  </si>
  <si>
    <t>Pre-Provision Net Revenue as % of Average Assets</t>
  </si>
  <si>
    <t>Tangible Book Value at Acquisition</t>
  </si>
  <si>
    <t>Gordon Growth Implied P/TBV</t>
  </si>
  <si>
    <t>Memo: Gordon Growth Model Valuation</t>
  </si>
  <si>
    <t>Sensitivity Analysis</t>
  </si>
  <si>
    <t>(P/E)</t>
  </si>
  <si>
    <t>Exit Multiple</t>
  </si>
  <si>
    <t>Securities and Cash</t>
  </si>
  <si>
    <t>Borrowing Cost</t>
  </si>
  <si>
    <t>INVESTOR RETURNS ANALYSIS</t>
  </si>
  <si>
    <t>Assumes Loan Book is 85% RW on average</t>
  </si>
  <si>
    <t>M&amp;A TARGET SCHEDULES</t>
  </si>
  <si>
    <t>Transaction Valuation (P/TBV)</t>
  </si>
  <si>
    <t>Cost Savings</t>
  </si>
  <si>
    <t>CDI %</t>
  </si>
  <si>
    <t>Balance Sheet Acquired</t>
  </si>
  <si>
    <t>Cash</t>
  </si>
  <si>
    <t>Equity</t>
  </si>
  <si>
    <t>Actual</t>
  </si>
  <si>
    <t>Pro Forma</t>
  </si>
  <si>
    <t>PAA</t>
  </si>
  <si>
    <t>Loan Mark %</t>
  </si>
  <si>
    <t>TCE/TA %</t>
  </si>
  <si>
    <t>Target Assumptions:</t>
  </si>
  <si>
    <t>RWA %</t>
  </si>
  <si>
    <t>RWA</t>
  </si>
  <si>
    <t>Tier 1 %</t>
  </si>
  <si>
    <t>Cash Consideration</t>
  </si>
  <si>
    <t>Stock Consideration</t>
  </si>
  <si>
    <t>Transaction Valuation $MM</t>
  </si>
  <si>
    <t>Year 1 Phase-in</t>
  </si>
  <si>
    <t>Year 2 Phase-in</t>
  </si>
  <si>
    <t>Intangibles</t>
  </si>
  <si>
    <t>Pre-Tax Cost of Cash</t>
  </si>
  <si>
    <t>Tax Rate %</t>
  </si>
  <si>
    <t>P&amp;L Acquired</t>
  </si>
  <si>
    <t>ROA (Post-Cost Saves)</t>
  </si>
  <si>
    <t>ROIC</t>
  </si>
  <si>
    <t>NIM %</t>
  </si>
  <si>
    <t>Fee Ratio %</t>
  </si>
  <si>
    <t>Efficiency Ratio %</t>
  </si>
  <si>
    <t>Provision</t>
  </si>
  <si>
    <t>Operating Expenses</t>
  </si>
  <si>
    <t>Excludes Amortization</t>
  </si>
  <si>
    <t>Closing Date</t>
  </si>
  <si>
    <t>First Year of Financials</t>
  </si>
  <si>
    <t>Implied Transaction P/E</t>
  </si>
  <si>
    <t>Income Statement (Pre-Target Acquisition)</t>
  </si>
  <si>
    <t>Net Interest Income</t>
  </si>
  <si>
    <t>Standalone</t>
  </si>
  <si>
    <t>Target</t>
  </si>
  <si>
    <t>BOP</t>
  </si>
  <si>
    <t>Net Interest Margin (Less Cost of Cash)</t>
  </si>
  <si>
    <t>Transaction Assumptions</t>
  </si>
  <si>
    <t>Restructuring Charge</t>
  </si>
  <si>
    <t>Average Earning Assets</t>
  </si>
  <si>
    <t>Standalone Net Income</t>
  </si>
  <si>
    <t>Target Net Income</t>
  </si>
  <si>
    <t>Standalone Dividend</t>
  </si>
  <si>
    <t>Target Dividend</t>
  </si>
  <si>
    <t>Same Payout Ratio</t>
  </si>
  <si>
    <t>EOP, Equity</t>
  </si>
  <si>
    <t>Standalone Intangibles</t>
  </si>
  <si>
    <t>Target Intangibles</t>
  </si>
  <si>
    <t>EOP, Tangible Common Equity</t>
  </si>
  <si>
    <t>Pro Forma Metrics</t>
  </si>
  <si>
    <t>Assumes year end close</t>
  </si>
  <si>
    <t>Exit Value and Implied TBV Multiple—Target</t>
  </si>
  <si>
    <t>Cash Flows and IRRs—Standalone</t>
  </si>
  <si>
    <t>Cash Flows and IRRs—Pro Forma</t>
  </si>
  <si>
    <t>Dividends—Standalone</t>
  </si>
  <si>
    <t>Dividends—Target</t>
  </si>
  <si>
    <t>Exit Value—Standalone</t>
  </si>
  <si>
    <t>Exit Value—Target</t>
  </si>
  <si>
    <t>IRR to Investor—Standalone</t>
  </si>
  <si>
    <t>Multiple of Invested Capital—Standalone</t>
  </si>
  <si>
    <t>IRR to Investor—Pro Forma</t>
  </si>
  <si>
    <t>Multiple of Invested Capital—Pro Forma</t>
  </si>
  <si>
    <t>Total Exit Value</t>
  </si>
  <si>
    <t>Pro Forma Common Equity</t>
  </si>
  <si>
    <t>Issuance in Transaction</t>
  </si>
  <si>
    <t>Implied P/E @1.0x TBV</t>
  </si>
  <si>
    <t>Pro Forma ROATCE</t>
  </si>
  <si>
    <t>Presentation Outputs</t>
  </si>
  <si>
    <t>x</t>
  </si>
  <si>
    <t>Projected</t>
  </si>
  <si>
    <t>Risk Weighted Assets</t>
  </si>
  <si>
    <t>($MM, unless noted)</t>
  </si>
  <si>
    <t>CAGR/</t>
  </si>
  <si>
    <t>Change</t>
  </si>
  <si>
    <t>FV</t>
  </si>
  <si>
    <t>Purchase Accounting</t>
  </si>
  <si>
    <t>Tangible Book Value</t>
  </si>
  <si>
    <t>FV Adjustment</t>
  </si>
  <si>
    <t>Excess Purchase Price</t>
  </si>
  <si>
    <t>CDI</t>
  </si>
  <si>
    <t>Other Goodwill</t>
  </si>
  <si>
    <t>Intangible Allocation:</t>
  </si>
  <si>
    <t>`</t>
  </si>
  <si>
    <t>Pro Forma P&amp;L Impact</t>
  </si>
  <si>
    <t>Pro Forma Balance Sheet Impact</t>
  </si>
  <si>
    <t>Summary Balance Sheet</t>
  </si>
  <si>
    <t xml:space="preserve">Total Assets </t>
  </si>
  <si>
    <t>Total Deposits</t>
  </si>
  <si>
    <t>Return on Tangible Common Equity (%)</t>
  </si>
  <si>
    <t>Return on Assets (%)</t>
  </si>
  <si>
    <t>Efficiency Ratio (%)</t>
  </si>
  <si>
    <t>Fee Income Ratio (%)</t>
  </si>
  <si>
    <t>Net Interest Margin (%)</t>
  </si>
  <si>
    <t>Tier 1 Ratio (%)</t>
  </si>
  <si>
    <t>Tier 1 Leverage (%)</t>
  </si>
  <si>
    <t>Summary Capitalization and Balance Sheet Metrics</t>
  </si>
  <si>
    <t>Summary Income Statement and Performance Metrics</t>
  </si>
  <si>
    <t>Loans/Deposits (%)</t>
  </si>
  <si>
    <t>IRR Build-up:</t>
  </si>
  <si>
    <t>Base IRR</t>
  </si>
  <si>
    <t>Standalone 
Multiple Expansion</t>
  </si>
  <si>
    <t>Pro Forma 
IRR</t>
  </si>
  <si>
    <t>Target 
Acquisition</t>
  </si>
  <si>
    <t>Standalone 
IRR</t>
  </si>
  <si>
    <t>Origination</t>
  </si>
  <si>
    <t>Maturity</t>
  </si>
  <si>
    <t>Total Originations</t>
  </si>
  <si>
    <t>Scheduled Amortization</t>
  </si>
  <si>
    <t>Net Credit Losses</t>
  </si>
  <si>
    <t>NCOs</t>
  </si>
  <si>
    <t>Period-End Balance</t>
  </si>
  <si>
    <t>Total Period-End Balance</t>
  </si>
  <si>
    <t>Total Net Credit Losses</t>
  </si>
  <si>
    <t>Total Average Balance</t>
  </si>
  <si>
    <t>Coupon/Spread</t>
  </si>
  <si>
    <t>LOAN SCHEDULE</t>
  </si>
  <si>
    <t>Total Interest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</si>
</sst>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6" formatCode="&quot;$&quot;#,##0_);[Red]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"/>
    <numFmt numFmtId="165" formatCode="_(* #,##0.0_);_(* \(#,##0.0\);_(* &quot;-&quot;??_);_(@_)"/>
    <numFmt numFmtId="166" formatCode="_(* #,##0_);_(* \(#,##0\);_(* &quot;-&quot;??_);_(@_)"/>
    <numFmt numFmtId="167" formatCode="0.0%"/>
    <numFmt numFmtId="168" formatCode="0.0\x"/>
    <numFmt numFmtId="169" formatCode="_(* #,##0.0_);_(* \(#,##0.0\);_(* &quot;-&quot;?_);_(@_)"/>
    <numFmt numFmtId="170" formatCode="mm/dd/yy;@"/>
    <numFmt numFmtId="171" formatCode="_(* #,##0_);_(* \(#,##0\);_(* &quot;-&quot;?_);_(@_)"/>
    <numFmt numFmtId="172" formatCode="0.0"/>
    <numFmt numFmtId="173" formatCode="m\-d\-yy"/>
    <numFmt numFmtId="174" formatCode="00"/>
    <numFmt numFmtId="175" formatCode="0.00_)"/>
    <numFmt numFmtId="176" formatCode="General_)"/>
    <numFmt numFmtId="177" formatCode="0.0000"/>
    <numFmt numFmtId="178" formatCode="0.00\x"/>
    <numFmt numFmtId="179" formatCode="#,##0.0"/>
    <numFmt numFmtId="180" formatCode="0\ &quot;Years&quot;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6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3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sz val="8"/>
      <color indexed="9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sz val="10"/>
      <name val="Helv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22"/>
      <name val="UBSHeadline"/>
      <family val="1"/>
    </font>
    <font>
      <b/>
      <sz val="14"/>
      <color indexed="9"/>
      <name val="Arial"/>
      <family val="2"/>
    </font>
    <font>
      <b/>
      <sz val="14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8"/>
      <name val="Arial"/>
      <family val="2"/>
    </font>
    <font>
      <sz val="10"/>
      <name val="Frutiger 45 Light"/>
      <family val="2"/>
    </font>
    <font>
      <sz val="8"/>
      <color indexed="12"/>
      <name val="Arial"/>
      <family val="2"/>
    </font>
    <font>
      <i/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8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9" fillId="0" borderId="0">
      <alignment horizontal="left" wrapText="1"/>
    </xf>
    <xf numFmtId="173" fontId="20" fillId="7" borderId="12">
      <alignment horizontal="center" vertical="center"/>
    </xf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6" fontId="21" fillId="0" borderId="0">
      <protection locked="0"/>
    </xf>
    <xf numFmtId="17" fontId="22" fillId="8" borderId="0">
      <alignment horizontal="left"/>
    </xf>
    <xf numFmtId="174" fontId="23" fillId="0" borderId="0">
      <protection locked="0"/>
    </xf>
    <xf numFmtId="38" fontId="24" fillId="9" borderId="0" applyNumberFormat="0" applyBorder="0" applyAlignment="0" applyProtection="0"/>
    <xf numFmtId="0" fontId="25" fillId="0" borderId="0" applyNumberFormat="0" applyFill="0" applyBorder="0" applyAlignment="0" applyProtection="0"/>
    <xf numFmtId="0" fontId="26" fillId="0" borderId="13" applyNumberFormat="0" applyAlignment="0" applyProtection="0">
      <alignment horizontal="left" vertical="center"/>
    </xf>
    <xf numFmtId="0" fontId="26" fillId="0" borderId="3">
      <alignment horizontal="left" vertical="center"/>
    </xf>
    <xf numFmtId="0" fontId="27" fillId="0" borderId="0">
      <protection locked="0"/>
    </xf>
    <xf numFmtId="0" fontId="27" fillId="0" borderId="0">
      <protection locked="0"/>
    </xf>
    <xf numFmtId="0" fontId="19" fillId="0" borderId="0" applyNumberFormat="0" applyFill="0" applyBorder="0" applyProtection="0">
      <alignment wrapText="1"/>
    </xf>
    <xf numFmtId="0" fontId="19" fillId="0" borderId="0" applyNumberFormat="0" applyFill="0" applyBorder="0" applyProtection="0">
      <alignment horizontal="justify" vertical="top" wrapText="1"/>
    </xf>
    <xf numFmtId="0" fontId="28" fillId="0" borderId="14" applyNumberFormat="0" applyFill="0" applyAlignment="0" applyProtection="0"/>
    <xf numFmtId="10" fontId="24" fillId="10" borderId="15" applyNumberFormat="0" applyBorder="0" applyAlignment="0" applyProtection="0"/>
    <xf numFmtId="37" fontId="29" fillId="0" borderId="0"/>
    <xf numFmtId="175" fontId="30" fillId="0" borderId="0"/>
    <xf numFmtId="0" fontId="1" fillId="0" borderId="0"/>
    <xf numFmtId="0" fontId="19" fillId="0" borderId="0"/>
    <xf numFmtId="176" fontId="31" fillId="0" borderId="4">
      <alignment vertical="center"/>
    </xf>
    <xf numFmtId="10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2" fillId="11" borderId="0" applyNumberFormat="0" applyBorder="0" applyAlignment="0" applyProtection="0"/>
    <xf numFmtId="0" fontId="33" fillId="0" borderId="0" applyNumberFormat="0" applyFill="0" applyBorder="0" applyAlignment="0" applyProtection="0"/>
    <xf numFmtId="0" fontId="34" fillId="11" borderId="0" applyNumberFormat="0" applyBorder="0" applyAlignment="0" applyProtection="0"/>
    <xf numFmtId="0" fontId="2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Protection="0">
      <alignment horizontal="center"/>
    </xf>
    <xf numFmtId="0" fontId="36" fillId="12" borderId="0" applyNumberFormat="0" applyBorder="0" applyAlignment="0" applyProtection="0"/>
    <xf numFmtId="0" fontId="19" fillId="0" borderId="0" applyNumberFormat="0" applyFont="0" applyFill="0" applyBorder="0" applyProtection="0">
      <alignment horizontal="right"/>
    </xf>
    <xf numFmtId="0" fontId="19" fillId="0" borderId="0" applyNumberFormat="0" applyFont="0" applyFill="0" applyBorder="0" applyProtection="0">
      <alignment horizontal="left"/>
    </xf>
    <xf numFmtId="0" fontId="24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13" borderId="0" applyNumberFormat="0" applyFont="0" applyBorder="0" applyAlignment="0" applyProtection="0"/>
    <xf numFmtId="177" fontId="19" fillId="0" borderId="0" applyFont="0" applyFill="0" applyBorder="0" applyAlignment="0" applyProtection="0"/>
    <xf numFmtId="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0" fontId="19" fillId="0" borderId="16" applyNumberFormat="0" applyFont="0" applyFill="0" applyAlignment="0" applyProtection="0"/>
    <xf numFmtId="49" fontId="38" fillId="0" borderId="4">
      <alignment vertical="center"/>
    </xf>
    <xf numFmtId="37" fontId="24" fillId="14" borderId="0" applyNumberFormat="0" applyBorder="0" applyAlignment="0" applyProtection="0"/>
    <xf numFmtId="37" fontId="24" fillId="0" borderId="0"/>
    <xf numFmtId="3" fontId="39" fillId="0" borderId="14" applyProtection="0"/>
  </cellStyleXfs>
  <cellXfs count="137">
    <xf numFmtId="0" fontId="0" fillId="0" borderId="0" xfId="0"/>
    <xf numFmtId="0" fontId="2" fillId="0" borderId="1" xfId="3"/>
    <xf numFmtId="0" fontId="0" fillId="2" borderId="0" xfId="0" applyFill="1"/>
    <xf numFmtId="0" fontId="5" fillId="0" borderId="0" xfId="0" applyFont="1"/>
    <xf numFmtId="0" fontId="3" fillId="0" borderId="0" xfId="0" applyFont="1"/>
    <xf numFmtId="164" fontId="3" fillId="0" borderId="0" xfId="0" applyNumberFormat="1" applyFont="1"/>
    <xf numFmtId="0" fontId="0" fillId="0" borderId="2" xfId="0" applyBorder="1"/>
    <xf numFmtId="0" fontId="3" fillId="0" borderId="0" xfId="0" applyFont="1" applyAlignment="1">
      <alignment horizontal="left" indent="1"/>
    </xf>
    <xf numFmtId="43" fontId="0" fillId="0" borderId="0" xfId="1" applyFont="1"/>
    <xf numFmtId="165" fontId="0" fillId="0" borderId="0" xfId="1" applyNumberFormat="1" applyFont="1"/>
    <xf numFmtId="166" fontId="0" fillId="0" borderId="0" xfId="1" applyNumberFormat="1" applyFont="1"/>
    <xf numFmtId="166" fontId="6" fillId="0" borderId="0" xfId="1" applyNumberFormat="1" applyFont="1"/>
    <xf numFmtId="166" fontId="0" fillId="0" borderId="0" xfId="0" applyNumberFormat="1"/>
    <xf numFmtId="10" fontId="0" fillId="0" borderId="0" xfId="0" applyNumberFormat="1"/>
    <xf numFmtId="10" fontId="6" fillId="0" borderId="0" xfId="0" applyNumberFormat="1" applyFont="1"/>
    <xf numFmtId="9" fontId="0" fillId="0" borderId="0" xfId="0" applyNumberFormat="1"/>
    <xf numFmtId="167" fontId="6" fillId="0" borderId="0" xfId="0" applyNumberFormat="1" applyFont="1"/>
    <xf numFmtId="167" fontId="0" fillId="0" borderId="0" xfId="2" applyNumberFormat="1" applyFont="1"/>
    <xf numFmtId="10" fontId="0" fillId="0" borderId="0" xfId="2" applyNumberFormat="1" applyFont="1"/>
    <xf numFmtId="167" fontId="0" fillId="0" borderId="0" xfId="0" applyNumberFormat="1"/>
    <xf numFmtId="0" fontId="3" fillId="3" borderId="0" xfId="0" applyFont="1" applyFill="1"/>
    <xf numFmtId="0" fontId="0" fillId="3" borderId="0" xfId="0" applyFill="1"/>
    <xf numFmtId="166" fontId="4" fillId="0" borderId="0" xfId="0" applyNumberFormat="1" applyFont="1"/>
    <xf numFmtId="166" fontId="3" fillId="0" borderId="2" xfId="0" applyNumberFormat="1" applyFont="1" applyBorder="1"/>
    <xf numFmtId="166" fontId="3" fillId="0" borderId="2" xfId="1" applyNumberFormat="1" applyFont="1" applyBorder="1"/>
    <xf numFmtId="166" fontId="7" fillId="0" borderId="0" xfId="1" applyNumberFormat="1" applyFont="1"/>
    <xf numFmtId="0" fontId="8" fillId="0" borderId="0" xfId="0" applyFont="1" applyAlignment="1">
      <alignment horizontal="right"/>
    </xf>
    <xf numFmtId="0" fontId="9" fillId="0" borderId="0" xfId="0" applyFont="1"/>
    <xf numFmtId="3" fontId="4" fillId="0" borderId="0" xfId="0" applyNumberFormat="1" applyFont="1"/>
    <xf numFmtId="165" fontId="0" fillId="4" borderId="0" xfId="1" applyNumberFormat="1" applyFont="1" applyFill="1"/>
    <xf numFmtId="9" fontId="0" fillId="0" borderId="0" xfId="0" applyNumberFormat="1" applyAlignment="1">
      <alignment horizontal="left"/>
    </xf>
    <xf numFmtId="9" fontId="3" fillId="0" borderId="0" xfId="0" applyNumberFormat="1" applyFont="1" applyAlignment="1">
      <alignment horizontal="left" indent="1"/>
    </xf>
    <xf numFmtId="9" fontId="6" fillId="0" borderId="0" xfId="0" applyNumberFormat="1" applyFont="1" applyAlignment="1">
      <alignment horizontal="left"/>
    </xf>
    <xf numFmtId="166" fontId="0" fillId="0" borderId="2" xfId="0" applyNumberFormat="1" applyBorder="1"/>
    <xf numFmtId="168" fontId="6" fillId="0" borderId="0" xfId="0" applyNumberFormat="1" applyFont="1"/>
    <xf numFmtId="0" fontId="0" fillId="0" borderId="4" xfId="0" applyBorder="1"/>
    <xf numFmtId="0" fontId="3" fillId="0" borderId="3" xfId="0" applyFont="1" applyBorder="1"/>
    <xf numFmtId="0" fontId="0" fillId="0" borderId="3" xfId="0" applyBorder="1"/>
    <xf numFmtId="167" fontId="0" fillId="0" borderId="2" xfId="0" applyNumberFormat="1" applyBorder="1"/>
    <xf numFmtId="168" fontId="6" fillId="0" borderId="4" xfId="0" applyNumberFormat="1" applyFont="1" applyBorder="1"/>
    <xf numFmtId="168" fontId="0" fillId="0" borderId="0" xfId="1" applyNumberFormat="1" applyFont="1" applyFill="1"/>
    <xf numFmtId="166" fontId="0" fillId="4" borderId="0" xfId="0" applyNumberFormat="1" applyFill="1"/>
    <xf numFmtId="167" fontId="0" fillId="0" borderId="0" xfId="1" applyNumberFormat="1" applyFont="1" applyFill="1"/>
    <xf numFmtId="167" fontId="6" fillId="0" borderId="0" xfId="1" applyNumberFormat="1" applyFont="1" applyFill="1"/>
    <xf numFmtId="0" fontId="3" fillId="5" borderId="5" xfId="0" applyFont="1" applyFill="1" applyBorder="1"/>
    <xf numFmtId="0" fontId="3" fillId="5" borderId="2" xfId="0" applyFont="1" applyFill="1" applyBorder="1"/>
    <xf numFmtId="167" fontId="3" fillId="5" borderId="6" xfId="0" applyNumberFormat="1" applyFont="1" applyFill="1" applyBorder="1"/>
    <xf numFmtId="0" fontId="3" fillId="5" borderId="7" xfId="0" applyFont="1" applyFill="1" applyBorder="1"/>
    <xf numFmtId="0" fontId="3" fillId="5" borderId="4" xfId="0" applyFont="1" applyFill="1" applyBorder="1"/>
    <xf numFmtId="168" fontId="3" fillId="5" borderId="8" xfId="0" applyNumberFormat="1" applyFont="1" applyFill="1" applyBorder="1"/>
    <xf numFmtId="0" fontId="3" fillId="0" borderId="0" xfId="0" applyFont="1" applyAlignment="1">
      <alignment horizontal="centerContinuous"/>
    </xf>
    <xf numFmtId="0" fontId="10" fillId="0" borderId="2" xfId="0" applyFont="1" applyBorder="1"/>
    <xf numFmtId="168" fontId="10" fillId="0" borderId="0" xfId="0" applyNumberFormat="1" applyFont="1"/>
    <xf numFmtId="167" fontId="0" fillId="0" borderId="5" xfId="0" applyNumberFormat="1" applyBorder="1"/>
    <xf numFmtId="167" fontId="0" fillId="0" borderId="9" xfId="0" applyNumberFormat="1" applyBorder="1"/>
    <xf numFmtId="0" fontId="3" fillId="6" borderId="0" xfId="0" applyFont="1" applyFill="1" applyAlignment="1">
      <alignment horizontal="centerContinuous"/>
    </xf>
    <xf numFmtId="0" fontId="0" fillId="6" borderId="0" xfId="0" applyFill="1" applyAlignment="1">
      <alignment horizontal="centerContinuous"/>
    </xf>
    <xf numFmtId="4" fontId="11" fillId="0" borderId="0" xfId="0" applyNumberFormat="1" applyFont="1"/>
    <xf numFmtId="167" fontId="11" fillId="0" borderId="0" xfId="0" applyNumberFormat="1" applyFont="1"/>
    <xf numFmtId="168" fontId="0" fillId="0" borderId="5" xfId="0" applyNumberFormat="1" applyBorder="1"/>
    <xf numFmtId="168" fontId="0" fillId="0" borderId="2" xfId="0" applyNumberFormat="1" applyBorder="1"/>
    <xf numFmtId="168" fontId="0" fillId="0" borderId="9" xfId="0" applyNumberFormat="1" applyBorder="1"/>
    <xf numFmtId="168" fontId="0" fillId="0" borderId="0" xfId="0" applyNumberFormat="1"/>
    <xf numFmtId="166" fontId="4" fillId="0" borderId="0" xfId="1" applyNumberFormat="1" applyFont="1"/>
    <xf numFmtId="166" fontId="3" fillId="0" borderId="3" xfId="0" applyNumberFormat="1" applyFont="1" applyBorder="1"/>
    <xf numFmtId="9" fontId="6" fillId="0" borderId="0" xfId="0" applyNumberFormat="1" applyFont="1"/>
    <xf numFmtId="0" fontId="3" fillId="0" borderId="4" xfId="0" applyFont="1" applyBorder="1" applyAlignment="1">
      <alignment horizontal="right"/>
    </xf>
    <xf numFmtId="165" fontId="0" fillId="0" borderId="0" xfId="1" applyNumberFormat="1" applyFont="1" applyBorder="1"/>
    <xf numFmtId="166" fontId="0" fillId="0" borderId="0" xfId="1" applyNumberFormat="1" applyFont="1" applyBorder="1"/>
    <xf numFmtId="166" fontId="6" fillId="0" borderId="0" xfId="1" applyNumberFormat="1" applyFont="1" applyBorder="1"/>
    <xf numFmtId="169" fontId="3" fillId="0" borderId="0" xfId="0" applyNumberFormat="1" applyFont="1"/>
    <xf numFmtId="167" fontId="6" fillId="0" borderId="4" xfId="0" applyNumberFormat="1" applyFont="1" applyBorder="1"/>
    <xf numFmtId="0" fontId="0" fillId="0" borderId="0" xfId="0" applyAlignment="1">
      <alignment horizontal="left" indent="1"/>
    </xf>
    <xf numFmtId="10" fontId="6" fillId="0" borderId="2" xfId="0" applyNumberFormat="1" applyFont="1" applyBorder="1"/>
    <xf numFmtId="165" fontId="3" fillId="0" borderId="0" xfId="1" applyNumberFormat="1" applyFont="1"/>
    <xf numFmtId="10" fontId="6" fillId="0" borderId="4" xfId="0" applyNumberFormat="1" applyFont="1" applyBorder="1"/>
    <xf numFmtId="167" fontId="0" fillId="0" borderId="4" xfId="0" applyNumberFormat="1" applyBorder="1"/>
    <xf numFmtId="9" fontId="0" fillId="0" borderId="0" xfId="1" applyNumberFormat="1" applyFont="1"/>
    <xf numFmtId="165" fontId="3" fillId="0" borderId="2" xfId="1" applyNumberFormat="1" applyFont="1" applyBorder="1"/>
    <xf numFmtId="165" fontId="3" fillId="0" borderId="2" xfId="0" applyNumberFormat="1" applyFont="1" applyBorder="1"/>
    <xf numFmtId="0" fontId="12" fillId="0" borderId="0" xfId="0" applyFont="1"/>
    <xf numFmtId="166" fontId="3" fillId="0" borderId="0" xfId="0" applyNumberFormat="1" applyFont="1"/>
    <xf numFmtId="170" fontId="6" fillId="0" borderId="2" xfId="0" applyNumberFormat="1" applyFont="1" applyBorder="1"/>
    <xf numFmtId="170" fontId="4" fillId="0" borderId="0" xfId="0" applyNumberFormat="1" applyFont="1"/>
    <xf numFmtId="164" fontId="3" fillId="0" borderId="4" xfId="0" applyNumberFormat="1" applyFont="1" applyBorder="1" applyAlignment="1">
      <alignment horizontal="right"/>
    </xf>
    <xf numFmtId="1" fontId="6" fillId="0" borderId="0" xfId="0" applyNumberFormat="1" applyFont="1"/>
    <xf numFmtId="168" fontId="0" fillId="0" borderId="0" xfId="1" applyNumberFormat="1" applyFont="1"/>
    <xf numFmtId="168" fontId="13" fillId="0" borderId="0" xfId="0" applyNumberFormat="1" applyFont="1"/>
    <xf numFmtId="0" fontId="13" fillId="0" borderId="2" xfId="0" applyFont="1" applyBorder="1"/>
    <xf numFmtId="0" fontId="15" fillId="0" borderId="0" xfId="0" applyFont="1"/>
    <xf numFmtId="0" fontId="16" fillId="0" borderId="0" xfId="0" applyFont="1"/>
    <xf numFmtId="49" fontId="16" fillId="0" borderId="4" xfId="0" applyNumberFormat="1" applyFont="1" applyBorder="1" applyAlignment="1">
      <alignment horizontal="centerContinuous"/>
    </xf>
    <xf numFmtId="0" fontId="16" fillId="0" borderId="4" xfId="0" applyFont="1" applyBorder="1"/>
    <xf numFmtId="0" fontId="16" fillId="0" borderId="4" xfId="0" applyFont="1" applyBorder="1" applyAlignment="1">
      <alignment horizontal="right"/>
    </xf>
    <xf numFmtId="0" fontId="16" fillId="0" borderId="0" xfId="0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horizontal="right"/>
    </xf>
    <xf numFmtId="0" fontId="17" fillId="0" borderId="0" xfId="0" applyFont="1"/>
    <xf numFmtId="0" fontId="18" fillId="0" borderId="0" xfId="0" applyFont="1" applyAlignment="1">
      <alignment vertical="center"/>
    </xf>
    <xf numFmtId="165" fontId="18" fillId="0" borderId="0" xfId="1" applyNumberFormat="1" applyFont="1" applyBorder="1" applyAlignment="1">
      <alignment vertical="center"/>
    </xf>
    <xf numFmtId="166" fontId="18" fillId="0" borderId="10" xfId="1" applyNumberFormat="1" applyFont="1" applyBorder="1" applyAlignment="1">
      <alignment vertical="center"/>
    </xf>
    <xf numFmtId="165" fontId="18" fillId="0" borderId="0" xfId="1" applyNumberFormat="1" applyFont="1" applyBorder="1" applyAlignment="1">
      <alignment horizontal="right" vertical="center"/>
    </xf>
    <xf numFmtId="165" fontId="18" fillId="0" borderId="4" xfId="1" applyNumberFormat="1" applyFont="1" applyBorder="1" applyAlignment="1">
      <alignment vertical="center"/>
    </xf>
    <xf numFmtId="41" fontId="16" fillId="0" borderId="0" xfId="0" applyNumberFormat="1" applyFont="1" applyAlignment="1">
      <alignment horizontal="centerContinuous"/>
    </xf>
    <xf numFmtId="178" fontId="6" fillId="0" borderId="0" xfId="0" applyNumberFormat="1" applyFont="1"/>
    <xf numFmtId="171" fontId="0" fillId="0" borderId="2" xfId="0" applyNumberFormat="1" applyBorder="1"/>
    <xf numFmtId="171" fontId="0" fillId="0" borderId="0" xfId="0" applyNumberFormat="1"/>
    <xf numFmtId="171" fontId="0" fillId="0" borderId="4" xfId="0" applyNumberFormat="1" applyBorder="1"/>
    <xf numFmtId="171" fontId="3" fillId="0" borderId="2" xfId="0" applyNumberFormat="1" applyFont="1" applyBorder="1"/>
    <xf numFmtId="0" fontId="14" fillId="0" borderId="0" xfId="0" applyFont="1" applyAlignment="1">
      <alignment vertical="center"/>
    </xf>
    <xf numFmtId="0" fontId="14" fillId="3" borderId="0" xfId="0" applyFont="1" applyFill="1" applyAlignment="1">
      <alignment vertical="center"/>
    </xf>
    <xf numFmtId="165" fontId="18" fillId="3" borderId="0" xfId="1" applyNumberFormat="1" applyFont="1" applyFill="1" applyBorder="1" applyAlignment="1">
      <alignment vertical="center"/>
    </xf>
    <xf numFmtId="166" fontId="18" fillId="3" borderId="10" xfId="1" applyNumberFormat="1" applyFont="1" applyFill="1" applyBorder="1" applyAlignment="1">
      <alignment vertical="center"/>
    </xf>
    <xf numFmtId="165" fontId="18" fillId="3" borderId="0" xfId="1" applyNumberFormat="1" applyFont="1" applyFill="1" applyBorder="1" applyAlignment="1">
      <alignment horizontal="right" vertical="center"/>
    </xf>
    <xf numFmtId="166" fontId="18" fillId="0" borderId="0" xfId="1" applyNumberFormat="1" applyFont="1" applyBorder="1" applyAlignment="1">
      <alignment vertical="center"/>
    </xf>
    <xf numFmtId="43" fontId="18" fillId="0" borderId="0" xfId="1" applyFont="1" applyBorder="1" applyAlignment="1">
      <alignment vertical="center"/>
    </xf>
    <xf numFmtId="167" fontId="0" fillId="4" borderId="0" xfId="1" applyNumberFormat="1" applyFont="1" applyFill="1"/>
    <xf numFmtId="0" fontId="18" fillId="0" borderId="4" xfId="0" applyFont="1" applyBorder="1" applyAlignment="1">
      <alignment vertical="center"/>
    </xf>
    <xf numFmtId="166" fontId="18" fillId="0" borderId="11" xfId="1" applyNumberFormat="1" applyFont="1" applyBorder="1" applyAlignment="1">
      <alignment vertical="center"/>
    </xf>
    <xf numFmtId="165" fontId="18" fillId="0" borderId="4" xfId="1" applyNumberFormat="1" applyFont="1" applyBorder="1" applyAlignment="1">
      <alignment horizontal="right" vertical="center"/>
    </xf>
    <xf numFmtId="168" fontId="10" fillId="15" borderId="0" xfId="0" applyNumberFormat="1" applyFont="1" applyFill="1"/>
    <xf numFmtId="179" fontId="0" fillId="0" borderId="0" xfId="0" applyNumberFormat="1"/>
    <xf numFmtId="0" fontId="0" fillId="0" borderId="0" xfId="0" applyAlignment="1">
      <alignment wrapText="1"/>
    </xf>
    <xf numFmtId="0" fontId="40" fillId="0" borderId="0" xfId="0" applyFont="1"/>
    <xf numFmtId="164" fontId="0" fillId="0" borderId="0" xfId="0" applyNumberFormat="1" applyAlignment="1">
      <alignment horizontal="left"/>
    </xf>
    <xf numFmtId="166" fontId="6" fillId="0" borderId="0" xfId="1" applyNumberFormat="1" applyFont="1" applyAlignment="1"/>
    <xf numFmtId="166" fontId="0" fillId="0" borderId="0" xfId="1" applyNumberFormat="1" applyFont="1" applyAlignment="1">
      <alignment horizontal="right"/>
    </xf>
    <xf numFmtId="180" fontId="6" fillId="0" borderId="0" xfId="1" applyNumberFormat="1" applyFont="1" applyAlignment="1"/>
    <xf numFmtId="180" fontId="4" fillId="0" borderId="0" xfId="1" applyNumberFormat="1" applyFont="1" applyAlignment="1"/>
    <xf numFmtId="164" fontId="8" fillId="0" borderId="0" xfId="0" applyNumberFormat="1" applyFont="1" applyAlignment="1">
      <alignment horizontal="right"/>
    </xf>
    <xf numFmtId="0" fontId="8" fillId="0" borderId="0" xfId="0" applyFont="1"/>
    <xf numFmtId="180" fontId="0" fillId="0" borderId="0" xfId="1" applyNumberFormat="1" applyFont="1" applyAlignment="1">
      <alignment horizontal="right"/>
    </xf>
    <xf numFmtId="10" fontId="6" fillId="0" borderId="0" xfId="1" applyNumberFormat="1" applyFont="1" applyAlignment="1"/>
    <xf numFmtId="10" fontId="0" fillId="0" borderId="0" xfId="1" applyNumberFormat="1" applyFont="1" applyAlignment="1">
      <alignment horizontal="right"/>
    </xf>
    <xf numFmtId="10" fontId="0" fillId="0" borderId="0" xfId="2" applyNumberFormat="1" applyFont="1" applyAlignment="1">
      <alignment horizontal="right"/>
    </xf>
    <xf numFmtId="166" fontId="4" fillId="0" borderId="0" xfId="1" applyNumberFormat="1" applyFont="1" applyAlignment="1"/>
    <xf numFmtId="164" fontId="10" fillId="0" borderId="0" xfId="0" applyNumberFormat="1" applyFont="1"/>
  </cellXfs>
  <cellStyles count="49">
    <cellStyle name="Actual Date" xfId="5" xr:uid="{00000000-0005-0000-0000-000000000000}"/>
    <cellStyle name="Comma" xfId="1" builtinId="3"/>
    <cellStyle name="Comma 2" xfId="6" xr:uid="{00000000-0005-0000-0000-000002000000}"/>
    <cellStyle name="Currency 2" xfId="7" xr:uid="{00000000-0005-0000-0000-000003000000}"/>
    <cellStyle name="Date" xfId="8" xr:uid="{00000000-0005-0000-0000-000004000000}"/>
    <cellStyle name="En-tête" xfId="9" xr:uid="{00000000-0005-0000-0000-000005000000}"/>
    <cellStyle name="Fixed" xfId="10" xr:uid="{00000000-0005-0000-0000-000006000000}"/>
    <cellStyle name="Grey" xfId="11" xr:uid="{00000000-0005-0000-0000-000007000000}"/>
    <cellStyle name="HEADER" xfId="12" xr:uid="{00000000-0005-0000-0000-000008000000}"/>
    <cellStyle name="Header1" xfId="13" xr:uid="{00000000-0005-0000-0000-000009000000}"/>
    <cellStyle name="Header2" xfId="14" xr:uid="{00000000-0005-0000-0000-00000A000000}"/>
    <cellStyle name="Heading 1" xfId="3" builtinId="16"/>
    <cellStyle name="Heading1" xfId="15" xr:uid="{00000000-0005-0000-0000-00000C000000}"/>
    <cellStyle name="Heading2" xfId="16" xr:uid="{00000000-0005-0000-0000-00000D000000}"/>
    <cellStyle name="HeadlineStyle" xfId="17" xr:uid="{00000000-0005-0000-0000-00000E000000}"/>
    <cellStyle name="HeadlineStyleJustified" xfId="18" xr:uid="{00000000-0005-0000-0000-00000F000000}"/>
    <cellStyle name="HIGHLIGHT" xfId="19" xr:uid="{00000000-0005-0000-0000-000010000000}"/>
    <cellStyle name="Input [yellow]" xfId="20" xr:uid="{00000000-0005-0000-0000-000011000000}"/>
    <cellStyle name="no dec" xfId="21" xr:uid="{00000000-0005-0000-0000-000012000000}"/>
    <cellStyle name="Normal" xfId="0" builtinId="0"/>
    <cellStyle name="Normal - Style1" xfId="22" xr:uid="{00000000-0005-0000-0000-000014000000}"/>
    <cellStyle name="Normal 2" xfId="23" xr:uid="{00000000-0005-0000-0000-000015000000}"/>
    <cellStyle name="Normal 2 2" xfId="24" xr:uid="{00000000-0005-0000-0000-000016000000}"/>
    <cellStyle name="Normal 3" xfId="4" xr:uid="{00000000-0005-0000-0000-000017000000}"/>
    <cellStyle name="pb_page_heading_LS" xfId="25" xr:uid="{00000000-0005-0000-0000-000018000000}"/>
    <cellStyle name="Percent" xfId="2" builtinId="5"/>
    <cellStyle name="Percent [2]" xfId="26" xr:uid="{00000000-0005-0000-0000-00001A000000}"/>
    <cellStyle name="Percent 2" xfId="27" xr:uid="{00000000-0005-0000-0000-00001B000000}"/>
    <cellStyle name="Style 21" xfId="28" xr:uid="{00000000-0005-0000-0000-00001C000000}"/>
    <cellStyle name="Style 22" xfId="29" xr:uid="{00000000-0005-0000-0000-00001D000000}"/>
    <cellStyle name="Style 23" xfId="30" xr:uid="{00000000-0005-0000-0000-00001E000000}"/>
    <cellStyle name="Style 24" xfId="31" xr:uid="{00000000-0005-0000-0000-00001F000000}"/>
    <cellStyle name="Style 25" xfId="32" xr:uid="{00000000-0005-0000-0000-000020000000}"/>
    <cellStyle name="Style 26" xfId="33" xr:uid="{00000000-0005-0000-0000-000021000000}"/>
    <cellStyle name="Style 27" xfId="34" xr:uid="{00000000-0005-0000-0000-000022000000}"/>
    <cellStyle name="Style 28" xfId="35" xr:uid="{00000000-0005-0000-0000-000023000000}"/>
    <cellStyle name="Style 29" xfId="36" xr:uid="{00000000-0005-0000-0000-000024000000}"/>
    <cellStyle name="Style 30" xfId="37" xr:uid="{00000000-0005-0000-0000-000025000000}"/>
    <cellStyle name="Style 31" xfId="38" xr:uid="{00000000-0005-0000-0000-000026000000}"/>
    <cellStyle name="Style 32" xfId="39" xr:uid="{00000000-0005-0000-0000-000027000000}"/>
    <cellStyle name="Style 33" xfId="40" xr:uid="{00000000-0005-0000-0000-000028000000}"/>
    <cellStyle name="Style 34" xfId="41" xr:uid="{00000000-0005-0000-0000-000029000000}"/>
    <cellStyle name="Style 35" xfId="42" xr:uid="{00000000-0005-0000-0000-00002A000000}"/>
    <cellStyle name="Style 36" xfId="43" xr:uid="{00000000-0005-0000-0000-00002B000000}"/>
    <cellStyle name="Style 39" xfId="44" xr:uid="{00000000-0005-0000-0000-00002C000000}"/>
    <cellStyle name="test a style" xfId="45" xr:uid="{00000000-0005-0000-0000-00002D000000}"/>
    <cellStyle name="Unprot" xfId="46" xr:uid="{00000000-0005-0000-0000-00002E000000}"/>
    <cellStyle name="Unprot$" xfId="47" xr:uid="{00000000-0005-0000-0000-00002F000000}"/>
    <cellStyle name="Unprotect" xfId="48" xr:uid="{00000000-0005-0000-0000-000031000000}"/>
  </cellStyles>
  <dxfs count="1"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</c:spPr>
          <c:invertIfNegative val="0"/>
          <c:cat>
            <c:strRef>
              <c:f>'chart output'!$B$6:$B$10</c:f>
              <c:strCache>
                <c:ptCount val="5"/>
                <c:pt idx="0">
                  <c:v>Base IRR</c:v>
                </c:pt>
                <c:pt idx="1">
                  <c:v>Standalone 
Multiple Expansion</c:v>
                </c:pt>
                <c:pt idx="2">
                  <c:v>Standalone 
IRR</c:v>
                </c:pt>
                <c:pt idx="3">
                  <c:v>Target 
Acquisition</c:v>
                </c:pt>
                <c:pt idx="4">
                  <c:v>Pro Forma 
IRR</c:v>
                </c:pt>
              </c:strCache>
            </c:strRef>
          </c:cat>
          <c:val>
            <c:numRef>
              <c:f>'chart output'!$D$6:$D$10</c:f>
              <c:numCache>
                <c:formatCode>#,##0.0</c:formatCode>
                <c:ptCount val="5"/>
                <c:pt idx="0">
                  <c:v>0</c:v>
                </c:pt>
                <c:pt idx="1">
                  <c:v>10.571286082267761</c:v>
                </c:pt>
                <c:pt idx="2">
                  <c:v>0</c:v>
                </c:pt>
                <c:pt idx="3">
                  <c:v>13.34599077701569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8-AA43-998D-D93B1F3CC457}"/>
            </c:ext>
          </c:extLst>
        </c:ser>
        <c:ser>
          <c:idx val="1"/>
          <c:order val="1"/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348-AA43-998D-D93B1F3CC45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2-4348-AA43-998D-D93B1F3CC457}"/>
              </c:ext>
            </c:extLst>
          </c:dPt>
          <c:dLbls>
            <c:dLbl>
              <c:idx val="0"/>
              <c:layout>
                <c:manualLayout>
                  <c:x val="2.0604432378634801E-3"/>
                  <c:y val="-0.2256959340144658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48-AA43-998D-D93B1F3CC457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48-AA43-998D-D93B1F3CC457}"/>
                </c:ext>
              </c:extLst>
            </c:dLbl>
            <c:dLbl>
              <c:idx val="2"/>
              <c:layout>
                <c:manualLayout>
                  <c:x val="2.0606054902642876E-3"/>
                  <c:y val="-0.2718058560174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48-AA43-998D-D93B1F3CC457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348-AA43-998D-D93B1F3CC457}"/>
                </c:ext>
              </c:extLst>
            </c:dLbl>
            <c:dLbl>
              <c:idx val="4"/>
              <c:layout>
                <c:manualLayout>
                  <c:x val="0"/>
                  <c:y val="-0.402855299115427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48-AA43-998D-D93B1F3CC45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output'!$B$6:$B$10</c:f>
              <c:strCache>
                <c:ptCount val="5"/>
                <c:pt idx="0">
                  <c:v>Base IRR</c:v>
                </c:pt>
                <c:pt idx="1">
                  <c:v>Standalone 
Multiple Expansion</c:v>
                </c:pt>
                <c:pt idx="2">
                  <c:v>Standalone 
IRR</c:v>
                </c:pt>
                <c:pt idx="3">
                  <c:v>Target 
Acquisition</c:v>
                </c:pt>
                <c:pt idx="4">
                  <c:v>Pro Forma 
IRR</c:v>
                </c:pt>
              </c:strCache>
            </c:strRef>
          </c:cat>
          <c:val>
            <c:numRef>
              <c:f>'chart output'!$E$6:$E$10</c:f>
              <c:numCache>
                <c:formatCode>#,##0.0</c:formatCode>
                <c:ptCount val="5"/>
                <c:pt idx="0">
                  <c:v>10.571286082267761</c:v>
                </c:pt>
                <c:pt idx="1">
                  <c:v>2.7747046947479284</c:v>
                </c:pt>
                <c:pt idx="2">
                  <c:v>13.34599077701569</c:v>
                </c:pt>
                <c:pt idx="3">
                  <c:v>7.2391939163208008</c:v>
                </c:pt>
                <c:pt idx="4">
                  <c:v>20.58518469333649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48-AA43-998D-D93B1F3CC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9468800"/>
        <c:axId val="439471488"/>
      </c:barChart>
      <c:catAx>
        <c:axId val="43946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9471488"/>
        <c:crosses val="autoZero"/>
        <c:auto val="1"/>
        <c:lblAlgn val="ctr"/>
        <c:lblOffset val="100"/>
        <c:noMultiLvlLbl val="0"/>
      </c:catAx>
      <c:valAx>
        <c:axId val="439471488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#,##0.0" sourceLinked="1"/>
        <c:majorTickMark val="none"/>
        <c:minorTickMark val="none"/>
        <c:tickLblPos val="nextTo"/>
        <c:crossAx val="439468800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526675</xdr:colOff>
      <xdr:row>14</xdr:row>
      <xdr:rowOff>33617</xdr:rowOff>
    </xdr:from>
    <xdr:to>
      <xdr:col>18</xdr:col>
      <xdr:colOff>302559</xdr:colOff>
      <xdr:row>41</xdr:row>
      <xdr:rowOff>123264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Capital%20Markets/Islandsbanki/Project%20Noon/MM/DNB_ISB%20MM%20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nl data"/>
      <sheetName val="inputs"/>
      <sheetName val="spot fx"/>
      <sheetName val="fwd fx"/>
      <sheetName val="assum output"/>
      <sheetName val="sum"/>
      <sheetName val="__FDSCACHE__"/>
      <sheetName val="Rollforward NOT USED"/>
      <sheetName val="marks"/>
      <sheetName val="acq"/>
      <sheetName val="tar"/>
      <sheetName val="tar (local)"/>
      <sheetName val="tar inc"/>
      <sheetName val="pf inc stmt"/>
      <sheetName val="pf bal sheet"/>
      <sheetName val="sen"/>
      <sheetName val="sensitivity output"/>
      <sheetName val="contribution"/>
      <sheetName val="shares"/>
      <sheetName val="pf oper. metrics"/>
      <sheetName val="dcf"/>
      <sheetName val="charts"/>
      <sheetName val="historicals---&gt;"/>
      <sheetName val="DNB Capital Adequacy"/>
      <sheetName val="DNB Income Statement"/>
      <sheetName val="DNB Balance Sheet"/>
      <sheetName val="ISB Capital Adequacy"/>
      <sheetName val="ISB Income Statement"/>
      <sheetName val="ISB Balance Sheet"/>
    </sheetNames>
    <sheetDataSet>
      <sheetData sheetId="0"/>
      <sheetData sheetId="1"/>
      <sheetData sheetId="2">
        <row r="6">
          <cell r="K6">
            <v>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8"/>
  <sheetViews>
    <sheetView showGridLines="0" tabSelected="1" topLeftCell="A24" zoomScale="125" zoomScaleNormal="125" zoomScaleSheetLayoutView="55" workbookViewId="0">
      <selection activeCell="F73" sqref="F73"/>
    </sheetView>
  </sheetViews>
  <sheetFormatPr baseColWidth="10" defaultColWidth="8.83203125" defaultRowHeight="15"/>
  <cols>
    <col min="1" max="1" width="1.6640625" customWidth="1"/>
    <col min="2" max="38" width="12.6640625" customWidth="1"/>
  </cols>
  <sheetData>
    <row r="1" spans="1:16" ht="21" thickBo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" thickTop="1"/>
    <row r="3" spans="1:16">
      <c r="B3" s="4" t="s">
        <v>2</v>
      </c>
      <c r="C3" s="4"/>
      <c r="D3" s="4"/>
      <c r="E3" s="136">
        <v>41274</v>
      </c>
      <c r="F3" s="136">
        <v>41639</v>
      </c>
      <c r="G3" s="136">
        <v>42004</v>
      </c>
      <c r="H3" s="136">
        <v>42369</v>
      </c>
      <c r="I3" s="136">
        <v>42735</v>
      </c>
      <c r="J3" s="136">
        <v>43100</v>
      </c>
      <c r="K3" s="136">
        <v>43465</v>
      </c>
      <c r="L3" s="136">
        <v>43830</v>
      </c>
      <c r="M3" s="136">
        <v>44196</v>
      </c>
      <c r="N3" s="136">
        <v>44561</v>
      </c>
      <c r="O3" s="136">
        <v>44926</v>
      </c>
      <c r="P3" s="136">
        <v>45291</v>
      </c>
    </row>
    <row r="5" spans="1:16">
      <c r="B5" s="4" t="s">
        <v>58</v>
      </c>
      <c r="C5" s="4"/>
    </row>
    <row r="6" spans="1:16">
      <c r="A6" s="3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8" spans="1:16">
      <c r="E8" s="5">
        <f>E$3</f>
        <v>41274</v>
      </c>
      <c r="F8" s="5">
        <f>F$3</f>
        <v>41639</v>
      </c>
      <c r="G8" s="5">
        <f t="shared" ref="G8:P8" si="0">G$3</f>
        <v>42004</v>
      </c>
      <c r="H8" s="5">
        <f t="shared" si="0"/>
        <v>42369</v>
      </c>
      <c r="I8" s="5">
        <f t="shared" si="0"/>
        <v>42735</v>
      </c>
      <c r="J8" s="5">
        <f t="shared" si="0"/>
        <v>43100</v>
      </c>
      <c r="K8" s="5">
        <f t="shared" si="0"/>
        <v>43465</v>
      </c>
      <c r="L8" s="5">
        <f t="shared" si="0"/>
        <v>43830</v>
      </c>
      <c r="M8" s="5">
        <f t="shared" si="0"/>
        <v>44196</v>
      </c>
      <c r="N8" s="5">
        <f t="shared" si="0"/>
        <v>44561</v>
      </c>
      <c r="O8" s="5">
        <f t="shared" si="0"/>
        <v>44926</v>
      </c>
      <c r="P8" s="5">
        <f t="shared" si="0"/>
        <v>45291</v>
      </c>
    </row>
    <row r="9" spans="1:16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B10" s="20" t="s">
        <v>3</v>
      </c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>
      <c r="B11" t="s">
        <v>9</v>
      </c>
      <c r="F11" s="11">
        <v>400</v>
      </c>
      <c r="G11" s="12">
        <f>F11</f>
        <v>400</v>
      </c>
      <c r="H11" s="12">
        <f t="shared" ref="H11:P14" si="1">G11</f>
        <v>400</v>
      </c>
      <c r="I11" s="12">
        <f t="shared" si="1"/>
        <v>400</v>
      </c>
      <c r="J11" s="12">
        <f t="shared" si="1"/>
        <v>400</v>
      </c>
      <c r="K11" s="12">
        <f t="shared" si="1"/>
        <v>400</v>
      </c>
      <c r="L11" s="12">
        <f t="shared" si="1"/>
        <v>400</v>
      </c>
      <c r="M11" s="12">
        <f t="shared" si="1"/>
        <v>400</v>
      </c>
      <c r="N11" s="12">
        <f t="shared" si="1"/>
        <v>400</v>
      </c>
      <c r="O11" s="12">
        <f t="shared" si="1"/>
        <v>400</v>
      </c>
      <c r="P11" s="12">
        <f t="shared" si="1"/>
        <v>400</v>
      </c>
    </row>
    <row r="12" spans="1:16">
      <c r="B12" t="s">
        <v>10</v>
      </c>
      <c r="F12" s="16">
        <v>0.2</v>
      </c>
      <c r="G12" s="17">
        <f>F12</f>
        <v>0.2</v>
      </c>
      <c r="H12" s="17">
        <f t="shared" si="1"/>
        <v>0.2</v>
      </c>
      <c r="I12" s="17">
        <f t="shared" si="1"/>
        <v>0.2</v>
      </c>
      <c r="J12" s="17">
        <f t="shared" si="1"/>
        <v>0.2</v>
      </c>
      <c r="K12" s="17">
        <f t="shared" si="1"/>
        <v>0.2</v>
      </c>
      <c r="L12" s="17">
        <f t="shared" si="1"/>
        <v>0.2</v>
      </c>
      <c r="M12" s="17">
        <f t="shared" si="1"/>
        <v>0.2</v>
      </c>
      <c r="N12" s="17">
        <f t="shared" si="1"/>
        <v>0.2</v>
      </c>
      <c r="O12" s="17">
        <f t="shared" si="1"/>
        <v>0.2</v>
      </c>
      <c r="P12" s="17">
        <f t="shared" si="1"/>
        <v>0.2</v>
      </c>
    </row>
    <row r="13" spans="1:16">
      <c r="B13" t="s">
        <v>11</v>
      </c>
      <c r="F13" s="14">
        <v>0.01</v>
      </c>
      <c r="G13" s="17">
        <f>F13</f>
        <v>0.01</v>
      </c>
      <c r="H13" s="17">
        <f t="shared" si="1"/>
        <v>0.01</v>
      </c>
      <c r="I13" s="17">
        <f t="shared" si="1"/>
        <v>0.01</v>
      </c>
      <c r="J13" s="17">
        <f t="shared" si="1"/>
        <v>0.01</v>
      </c>
      <c r="K13" s="17">
        <f t="shared" si="1"/>
        <v>0.01</v>
      </c>
      <c r="L13" s="17">
        <f t="shared" si="1"/>
        <v>0.01</v>
      </c>
      <c r="M13" s="17">
        <f t="shared" si="1"/>
        <v>0.01</v>
      </c>
      <c r="N13" s="17">
        <f t="shared" si="1"/>
        <v>0.01</v>
      </c>
      <c r="O13" s="17">
        <f t="shared" si="1"/>
        <v>0.01</v>
      </c>
      <c r="P13" s="17">
        <f t="shared" si="1"/>
        <v>0.01</v>
      </c>
    </row>
    <row r="14" spans="1:16">
      <c r="B14" t="s">
        <v>110</v>
      </c>
      <c r="F14" s="14">
        <v>5.5E-2</v>
      </c>
      <c r="G14" s="18">
        <f>F14</f>
        <v>5.5E-2</v>
      </c>
      <c r="H14" s="18">
        <f t="shared" si="1"/>
        <v>5.5E-2</v>
      </c>
      <c r="I14" s="18">
        <f t="shared" si="1"/>
        <v>5.5E-2</v>
      </c>
      <c r="J14" s="18">
        <f t="shared" si="1"/>
        <v>5.5E-2</v>
      </c>
      <c r="K14" s="18">
        <f t="shared" si="1"/>
        <v>5.5E-2</v>
      </c>
      <c r="L14" s="18">
        <f t="shared" si="1"/>
        <v>5.5E-2</v>
      </c>
      <c r="M14" s="18">
        <f t="shared" si="1"/>
        <v>5.5E-2</v>
      </c>
      <c r="N14" s="18">
        <f t="shared" si="1"/>
        <v>5.5E-2</v>
      </c>
      <c r="O14" s="18">
        <f t="shared" si="1"/>
        <v>5.5E-2</v>
      </c>
      <c r="P14" s="18">
        <f t="shared" si="1"/>
        <v>5.5E-2</v>
      </c>
    </row>
    <row r="15" spans="1:16">
      <c r="B15" s="4" t="s">
        <v>12</v>
      </c>
      <c r="C15" s="4"/>
    </row>
    <row r="16" spans="1:16">
      <c r="B16" t="s">
        <v>4</v>
      </c>
      <c r="F16" s="63">
        <f>E92</f>
        <v>1350</v>
      </c>
      <c r="G16" s="12">
        <f>F20</f>
        <v>1466.5</v>
      </c>
      <c r="H16" s="12">
        <f t="shared" ref="H16:P16" si="2">G20</f>
        <v>1558.5350000000001</v>
      </c>
      <c r="I16" s="12">
        <f t="shared" si="2"/>
        <v>1631.2426499999999</v>
      </c>
      <c r="J16" s="12">
        <f t="shared" si="2"/>
        <v>1688.6816934999999</v>
      </c>
      <c r="K16" s="12">
        <f t="shared" si="2"/>
        <v>1734.0585378649996</v>
      </c>
      <c r="L16" s="12">
        <f t="shared" si="2"/>
        <v>1769.9062449133494</v>
      </c>
      <c r="M16" s="12">
        <f t="shared" si="2"/>
        <v>1798.225933481546</v>
      </c>
      <c r="N16" s="12">
        <f t="shared" si="2"/>
        <v>1820.5984874504215</v>
      </c>
      <c r="O16" s="12">
        <f t="shared" si="2"/>
        <v>1838.2728050858332</v>
      </c>
      <c r="P16" s="12">
        <f t="shared" si="2"/>
        <v>1852.2355160178083</v>
      </c>
    </row>
    <row r="17" spans="2:16">
      <c r="B17" t="s">
        <v>5</v>
      </c>
      <c r="F17" s="10">
        <f>F11</f>
        <v>400</v>
      </c>
      <c r="G17" s="12">
        <f t="shared" ref="G17:P17" si="3">G11</f>
        <v>400</v>
      </c>
      <c r="H17" s="12">
        <f t="shared" si="3"/>
        <v>400</v>
      </c>
      <c r="I17" s="12">
        <f t="shared" si="3"/>
        <v>400</v>
      </c>
      <c r="J17" s="12">
        <f t="shared" si="3"/>
        <v>400</v>
      </c>
      <c r="K17" s="12">
        <f t="shared" si="3"/>
        <v>400</v>
      </c>
      <c r="L17" s="12">
        <f t="shared" si="3"/>
        <v>400</v>
      </c>
      <c r="M17" s="12">
        <f t="shared" si="3"/>
        <v>400</v>
      </c>
      <c r="N17" s="12">
        <f t="shared" si="3"/>
        <v>400</v>
      </c>
      <c r="O17" s="12">
        <f t="shared" si="3"/>
        <v>400</v>
      </c>
      <c r="P17" s="12">
        <f t="shared" si="3"/>
        <v>400</v>
      </c>
    </row>
    <row r="18" spans="2:16">
      <c r="B18" t="s">
        <v>10</v>
      </c>
      <c r="F18" s="10">
        <f t="shared" ref="F18:P18" si="4">-F16*F12</f>
        <v>-270</v>
      </c>
      <c r="G18" s="10">
        <f t="shared" si="4"/>
        <v>-293.3</v>
      </c>
      <c r="H18" s="10">
        <f t="shared" si="4"/>
        <v>-311.70700000000005</v>
      </c>
      <c r="I18" s="10">
        <f t="shared" si="4"/>
        <v>-326.24853000000002</v>
      </c>
      <c r="J18" s="10">
        <f t="shared" si="4"/>
        <v>-337.73633870000003</v>
      </c>
      <c r="K18" s="10">
        <f t="shared" si="4"/>
        <v>-346.81170757299992</v>
      </c>
      <c r="L18" s="10">
        <f t="shared" si="4"/>
        <v>-353.98124898266991</v>
      </c>
      <c r="M18" s="10">
        <f t="shared" si="4"/>
        <v>-359.64518669630922</v>
      </c>
      <c r="N18" s="10">
        <f t="shared" si="4"/>
        <v>-364.11969749008432</v>
      </c>
      <c r="O18" s="10">
        <f t="shared" si="4"/>
        <v>-367.65456101716666</v>
      </c>
      <c r="P18" s="10">
        <f t="shared" si="4"/>
        <v>-370.44710320356171</v>
      </c>
    </row>
    <row r="19" spans="2:16">
      <c r="B19" t="s">
        <v>6</v>
      </c>
      <c r="F19" s="10">
        <f t="shared" ref="F19:P19" si="5">-F16*F13</f>
        <v>-13.5</v>
      </c>
      <c r="G19" s="10">
        <f t="shared" si="5"/>
        <v>-14.665000000000001</v>
      </c>
      <c r="H19" s="10">
        <f t="shared" si="5"/>
        <v>-15.585350000000002</v>
      </c>
      <c r="I19" s="10">
        <f t="shared" si="5"/>
        <v>-16.312426500000001</v>
      </c>
      <c r="J19" s="10">
        <f t="shared" si="5"/>
        <v>-16.886816934999999</v>
      </c>
      <c r="K19" s="10">
        <f t="shared" si="5"/>
        <v>-17.340585378649997</v>
      </c>
      <c r="L19" s="10">
        <f t="shared" si="5"/>
        <v>-17.699062449133493</v>
      </c>
      <c r="M19" s="10">
        <f t="shared" si="5"/>
        <v>-17.98225933481546</v>
      </c>
      <c r="N19" s="10">
        <f t="shared" si="5"/>
        <v>-18.205984874504217</v>
      </c>
      <c r="O19" s="10">
        <f t="shared" si="5"/>
        <v>-18.382728050858333</v>
      </c>
      <c r="P19" s="10">
        <f t="shared" si="5"/>
        <v>-18.522355160178083</v>
      </c>
    </row>
    <row r="20" spans="2:16">
      <c r="B20" s="7" t="s">
        <v>7</v>
      </c>
      <c r="C20" s="7"/>
      <c r="F20" s="24">
        <f>SUM(F16:F19)</f>
        <v>1466.5</v>
      </c>
      <c r="G20" s="24">
        <f t="shared" ref="G20:P20" si="6">SUM(G16:G19)</f>
        <v>1558.5350000000001</v>
      </c>
      <c r="H20" s="24">
        <f t="shared" si="6"/>
        <v>1631.2426499999999</v>
      </c>
      <c r="I20" s="24">
        <f t="shared" si="6"/>
        <v>1688.6816934999999</v>
      </c>
      <c r="J20" s="24">
        <f t="shared" si="6"/>
        <v>1734.0585378649996</v>
      </c>
      <c r="K20" s="24">
        <f t="shared" si="6"/>
        <v>1769.9062449133494</v>
      </c>
      <c r="L20" s="24">
        <f t="shared" si="6"/>
        <v>1798.225933481546</v>
      </c>
      <c r="M20" s="24">
        <f t="shared" si="6"/>
        <v>1820.5984874504215</v>
      </c>
      <c r="N20" s="24">
        <f t="shared" si="6"/>
        <v>1838.2728050858332</v>
      </c>
      <c r="O20" s="24">
        <f t="shared" si="6"/>
        <v>1852.2355160178083</v>
      </c>
      <c r="P20" s="24">
        <f t="shared" si="6"/>
        <v>1863.2660576540688</v>
      </c>
    </row>
    <row r="21" spans="2:16">
      <c r="B21" t="s">
        <v>8</v>
      </c>
      <c r="F21" s="10">
        <f>AVERAGE(F20,F16)</f>
        <v>1408.25</v>
      </c>
      <c r="G21" s="10">
        <f t="shared" ref="G21:P21" si="7">AVERAGE(G20,G16)</f>
        <v>1512.5174999999999</v>
      </c>
      <c r="H21" s="10">
        <f t="shared" si="7"/>
        <v>1594.888825</v>
      </c>
      <c r="I21" s="10">
        <f t="shared" si="7"/>
        <v>1659.9621717499999</v>
      </c>
      <c r="J21" s="10">
        <f t="shared" si="7"/>
        <v>1711.3701156824998</v>
      </c>
      <c r="K21" s="10">
        <f t="shared" si="7"/>
        <v>1751.9823913891746</v>
      </c>
      <c r="L21" s="10">
        <f t="shared" si="7"/>
        <v>1784.0660891974476</v>
      </c>
      <c r="M21" s="10">
        <f t="shared" si="7"/>
        <v>1809.4122104659837</v>
      </c>
      <c r="N21" s="10">
        <f t="shared" si="7"/>
        <v>1829.4356462681274</v>
      </c>
      <c r="O21" s="10">
        <f t="shared" si="7"/>
        <v>1845.2541605518209</v>
      </c>
      <c r="P21" s="10">
        <f t="shared" si="7"/>
        <v>1857.7507868359385</v>
      </c>
    </row>
    <row r="22" spans="2:16">
      <c r="B22" t="s">
        <v>13</v>
      </c>
      <c r="F22" s="10">
        <f t="shared" ref="F22:P22" si="8">F21*F14</f>
        <v>77.453749999999999</v>
      </c>
      <c r="G22" s="10">
        <f t="shared" si="8"/>
        <v>83.1884625</v>
      </c>
      <c r="H22" s="10">
        <f t="shared" si="8"/>
        <v>87.718885374999999</v>
      </c>
      <c r="I22" s="10">
        <f t="shared" si="8"/>
        <v>91.297919446249992</v>
      </c>
      <c r="J22" s="10">
        <f t="shared" si="8"/>
        <v>94.125356362537488</v>
      </c>
      <c r="K22" s="10">
        <f t="shared" si="8"/>
        <v>96.359031526404607</v>
      </c>
      <c r="L22" s="10">
        <f t="shared" si="8"/>
        <v>98.123634905859618</v>
      </c>
      <c r="M22" s="10">
        <f t="shared" si="8"/>
        <v>99.517671575629109</v>
      </c>
      <c r="N22" s="10">
        <f t="shared" si="8"/>
        <v>100.61896054474701</v>
      </c>
      <c r="O22" s="10">
        <f t="shared" si="8"/>
        <v>101.48897883035015</v>
      </c>
      <c r="P22" s="10">
        <f t="shared" si="8"/>
        <v>102.17629327597662</v>
      </c>
    </row>
    <row r="23" spans="2:16">
      <c r="F23" s="10"/>
      <c r="G23" s="77"/>
      <c r="H23" s="77"/>
      <c r="I23" s="77"/>
      <c r="J23" s="77"/>
      <c r="K23" s="77"/>
      <c r="L23" s="77"/>
      <c r="M23" s="77"/>
      <c r="N23" s="77"/>
      <c r="O23" s="77"/>
      <c r="P23" s="10"/>
    </row>
    <row r="24" spans="2:16">
      <c r="B24" s="20" t="s">
        <v>147</v>
      </c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2:16">
      <c r="B25" t="s">
        <v>59</v>
      </c>
      <c r="E25" s="19">
        <f>E27/E100</f>
        <v>0.16620498614958448</v>
      </c>
      <c r="F25" s="16">
        <v>0.2</v>
      </c>
      <c r="G25" s="17">
        <f t="shared" ref="G25:P25" si="9">F25</f>
        <v>0.2</v>
      </c>
      <c r="H25" s="17">
        <f t="shared" si="9"/>
        <v>0.2</v>
      </c>
      <c r="I25" s="17">
        <f t="shared" si="9"/>
        <v>0.2</v>
      </c>
      <c r="J25" s="17">
        <f t="shared" si="9"/>
        <v>0.2</v>
      </c>
      <c r="K25" s="17">
        <f t="shared" si="9"/>
        <v>0.2</v>
      </c>
      <c r="L25" s="17">
        <f t="shared" si="9"/>
        <v>0.2</v>
      </c>
      <c r="M25" s="17">
        <f t="shared" si="9"/>
        <v>0.2</v>
      </c>
      <c r="N25" s="17">
        <f t="shared" si="9"/>
        <v>0.2</v>
      </c>
      <c r="O25" s="17">
        <f t="shared" si="9"/>
        <v>0.2</v>
      </c>
      <c r="P25" s="17">
        <f t="shared" si="9"/>
        <v>0.2</v>
      </c>
    </row>
    <row r="26" spans="2:16">
      <c r="B26" t="s">
        <v>109</v>
      </c>
      <c r="E26" s="26" t="s">
        <v>54</v>
      </c>
      <c r="F26" s="14">
        <v>0.03</v>
      </c>
      <c r="G26" s="18">
        <f>F26</f>
        <v>0.03</v>
      </c>
      <c r="H26" s="18">
        <f t="shared" ref="H26:P26" si="10">G26</f>
        <v>0.03</v>
      </c>
      <c r="I26" s="18">
        <f t="shared" si="10"/>
        <v>0.03</v>
      </c>
      <c r="J26" s="18">
        <f t="shared" si="10"/>
        <v>0.03</v>
      </c>
      <c r="K26" s="18">
        <f t="shared" si="10"/>
        <v>0.03</v>
      </c>
      <c r="L26" s="18">
        <f t="shared" si="10"/>
        <v>0.03</v>
      </c>
      <c r="M26" s="18">
        <f t="shared" si="10"/>
        <v>0.03</v>
      </c>
      <c r="N26" s="18">
        <f t="shared" si="10"/>
        <v>0.03</v>
      </c>
      <c r="O26" s="18">
        <f t="shared" si="10"/>
        <v>0.03</v>
      </c>
      <c r="P26" s="18">
        <f t="shared" si="10"/>
        <v>0.03</v>
      </c>
    </row>
    <row r="27" spans="2:16">
      <c r="B27" t="s">
        <v>111</v>
      </c>
      <c r="E27" s="28">
        <f>E91</f>
        <v>300</v>
      </c>
      <c r="F27" s="10">
        <f t="shared" ref="F27:P27" si="11">F91</f>
        <v>405.75062500000001</v>
      </c>
      <c r="G27" s="10">
        <f t="shared" si="11"/>
        <v>429.30674375000001</v>
      </c>
      <c r="H27" s="10">
        <f t="shared" si="11"/>
        <v>448.12135256250002</v>
      </c>
      <c r="I27" s="10">
        <f t="shared" si="11"/>
        <v>463.19427402437498</v>
      </c>
      <c r="J27" s="10">
        <f t="shared" si="11"/>
        <v>475.31545008925616</v>
      </c>
      <c r="K27" s="10">
        <f t="shared" si="11"/>
        <v>485.10901865271234</v>
      </c>
      <c r="L27" s="10">
        <f t="shared" si="11"/>
        <v>493.06813407948664</v>
      </c>
      <c r="M27" s="10">
        <f t="shared" si="11"/>
        <v>499.58247545351543</v>
      </c>
      <c r="N27" s="10">
        <f t="shared" si="11"/>
        <v>504.95997812961264</v>
      </c>
      <c r="O27" s="10">
        <f t="shared" si="11"/>
        <v>509.44400169415587</v>
      </c>
      <c r="P27" s="10">
        <f t="shared" si="11"/>
        <v>513.2268926895805</v>
      </c>
    </row>
    <row r="28" spans="2:16">
      <c r="B28" t="s">
        <v>8</v>
      </c>
      <c r="F28" s="10">
        <f>AVERAGE(E27:F27)</f>
        <v>352.87531250000001</v>
      </c>
      <c r="G28" s="10">
        <f t="shared" ref="G28" si="12">AVERAGE(F27:G27)</f>
        <v>417.52868437500001</v>
      </c>
      <c r="H28" s="10">
        <f t="shared" ref="H28" si="13">AVERAGE(G27:H27)</f>
        <v>438.71404815624999</v>
      </c>
      <c r="I28" s="10">
        <f t="shared" ref="I28" si="14">AVERAGE(H27:I27)</f>
        <v>455.65781329343747</v>
      </c>
      <c r="J28" s="10">
        <f t="shared" ref="J28" si="15">AVERAGE(I27:J27)</f>
        <v>469.25486205681557</v>
      </c>
      <c r="K28" s="10">
        <f t="shared" ref="K28" si="16">AVERAGE(J27:K27)</f>
        <v>480.21223437098422</v>
      </c>
      <c r="L28" s="10">
        <f t="shared" ref="L28" si="17">AVERAGE(K27:L27)</f>
        <v>489.08857636609946</v>
      </c>
      <c r="M28" s="10">
        <f t="shared" ref="M28" si="18">AVERAGE(L27:M27)</f>
        <v>496.32530476650106</v>
      </c>
      <c r="N28" s="10">
        <f t="shared" ref="N28" si="19">AVERAGE(M27:N27)</f>
        <v>502.271226791564</v>
      </c>
      <c r="O28" s="10">
        <f t="shared" ref="O28" si="20">AVERAGE(N27:O27)</f>
        <v>507.20198991188425</v>
      </c>
      <c r="P28" s="10">
        <f t="shared" ref="P28" si="21">AVERAGE(O27:P27)</f>
        <v>511.33544719186818</v>
      </c>
    </row>
    <row r="29" spans="2:16">
      <c r="B29" t="s">
        <v>13</v>
      </c>
      <c r="F29" s="10">
        <f>F26*F28</f>
        <v>10.586259374999999</v>
      </c>
      <c r="G29" s="10">
        <f t="shared" ref="G29" si="22">G26*G28</f>
        <v>12.52586053125</v>
      </c>
      <c r="H29" s="10">
        <f t="shared" ref="H29" si="23">H26*H28</f>
        <v>13.1614214446875</v>
      </c>
      <c r="I29" s="10">
        <f t="shared" ref="I29" si="24">I26*I28</f>
        <v>13.669734398803124</v>
      </c>
      <c r="J29" s="10">
        <f t="shared" ref="J29" si="25">J26*J28</f>
        <v>14.077645861704466</v>
      </c>
      <c r="K29" s="10">
        <f t="shared" ref="K29" si="26">K26*K28</f>
        <v>14.406367031129527</v>
      </c>
      <c r="L29" s="10">
        <f t="shared" ref="L29" si="27">L26*L28</f>
        <v>14.672657290982983</v>
      </c>
      <c r="M29" s="10">
        <f t="shared" ref="M29" si="28">M26*M28</f>
        <v>14.889759142995031</v>
      </c>
      <c r="N29" s="10">
        <f t="shared" ref="N29" si="29">N26*N28</f>
        <v>15.068136803746919</v>
      </c>
      <c r="O29" s="10">
        <f t="shared" ref="O29" si="30">O26*O28</f>
        <v>15.216059697356528</v>
      </c>
      <c r="P29" s="10">
        <f t="shared" ref="P29" si="31">P26*P28</f>
        <v>15.340063415756045</v>
      </c>
    </row>
    <row r="30" spans="2:16"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1" spans="2:16">
      <c r="B31" t="s">
        <v>114</v>
      </c>
      <c r="E31" s="26" t="s">
        <v>54</v>
      </c>
      <c r="F31" s="14">
        <v>2.5000000000000001E-3</v>
      </c>
      <c r="G31" s="18">
        <f>F31</f>
        <v>2.5000000000000001E-3</v>
      </c>
      <c r="H31" s="18">
        <f t="shared" ref="H31:P31" si="32">G31</f>
        <v>2.5000000000000001E-3</v>
      </c>
      <c r="I31" s="18">
        <f t="shared" si="32"/>
        <v>2.5000000000000001E-3</v>
      </c>
      <c r="J31" s="18">
        <f t="shared" si="32"/>
        <v>2.5000000000000001E-3</v>
      </c>
      <c r="K31" s="18">
        <f t="shared" si="32"/>
        <v>2.5000000000000001E-3</v>
      </c>
      <c r="L31" s="18">
        <f t="shared" si="32"/>
        <v>2.5000000000000001E-3</v>
      </c>
      <c r="M31" s="18">
        <f t="shared" si="32"/>
        <v>2.5000000000000001E-3</v>
      </c>
      <c r="N31" s="18">
        <f t="shared" si="32"/>
        <v>2.5000000000000001E-3</v>
      </c>
      <c r="O31" s="18">
        <f t="shared" si="32"/>
        <v>2.5000000000000001E-3</v>
      </c>
      <c r="P31" s="18">
        <f t="shared" si="32"/>
        <v>2.5000000000000001E-3</v>
      </c>
    </row>
    <row r="32" spans="2:16">
      <c r="B32" t="s">
        <v>111</v>
      </c>
      <c r="E32" s="28">
        <f>E90</f>
        <v>75</v>
      </c>
      <c r="F32" s="10">
        <f t="shared" ref="F32:P32" si="33">F90</f>
        <v>76.5</v>
      </c>
      <c r="G32" s="10">
        <f t="shared" si="33"/>
        <v>78.03</v>
      </c>
      <c r="H32" s="10">
        <f t="shared" si="33"/>
        <v>79.590600000000009</v>
      </c>
      <c r="I32" s="10">
        <f t="shared" si="33"/>
        <v>81.182412000000014</v>
      </c>
      <c r="J32" s="10">
        <f t="shared" si="33"/>
        <v>82.806060240000022</v>
      </c>
      <c r="K32" s="10">
        <f t="shared" si="33"/>
        <v>84.462181444800024</v>
      </c>
      <c r="L32" s="10">
        <f t="shared" si="33"/>
        <v>86.151425073696032</v>
      </c>
      <c r="M32" s="10">
        <f t="shared" si="33"/>
        <v>87.874453575169952</v>
      </c>
      <c r="N32" s="10">
        <f t="shared" si="33"/>
        <v>89.631942646673352</v>
      </c>
      <c r="O32" s="10">
        <f t="shared" si="33"/>
        <v>91.424581499606816</v>
      </c>
      <c r="P32" s="10">
        <f t="shared" si="33"/>
        <v>93.25307312959896</v>
      </c>
    </row>
    <row r="33" spans="1:16">
      <c r="B33" t="s">
        <v>8</v>
      </c>
      <c r="F33" s="10">
        <f>AVERAGE(E32:F32)</f>
        <v>75.75</v>
      </c>
      <c r="G33" s="10">
        <f t="shared" ref="G33" si="34">AVERAGE(F32:G32)</f>
        <v>77.265000000000001</v>
      </c>
      <c r="H33" s="10">
        <f t="shared" ref="H33" si="35">AVERAGE(G32:H32)</f>
        <v>78.810300000000012</v>
      </c>
      <c r="I33" s="10">
        <f t="shared" ref="I33" si="36">AVERAGE(H32:I32)</f>
        <v>80.386506000000011</v>
      </c>
      <c r="J33" s="10">
        <f t="shared" ref="J33" si="37">AVERAGE(I32:J32)</f>
        <v>81.994236120000011</v>
      </c>
      <c r="K33" s="10">
        <f t="shared" ref="K33" si="38">AVERAGE(J32:K32)</f>
        <v>83.634120842400023</v>
      </c>
      <c r="L33" s="10">
        <f t="shared" ref="L33" si="39">AVERAGE(K32:L32)</f>
        <v>85.306803259248028</v>
      </c>
      <c r="M33" s="10">
        <f t="shared" ref="M33" si="40">AVERAGE(L32:M32)</f>
        <v>87.012939324432992</v>
      </c>
      <c r="N33" s="10">
        <f t="shared" ref="N33" si="41">AVERAGE(M32:N32)</f>
        <v>88.753198110921659</v>
      </c>
      <c r="O33" s="10">
        <f t="shared" ref="O33" si="42">AVERAGE(N32:O32)</f>
        <v>90.528262073140084</v>
      </c>
      <c r="P33" s="10">
        <f t="shared" ref="P33" si="43">AVERAGE(O32:P32)</f>
        <v>92.338827314602895</v>
      </c>
    </row>
    <row r="34" spans="1:16">
      <c r="B34" t="s">
        <v>13</v>
      </c>
      <c r="F34" s="10">
        <f>F31*F33</f>
        <v>0.18937500000000002</v>
      </c>
      <c r="G34" s="10">
        <f t="shared" ref="G34" si="44">G31*G33</f>
        <v>0.19316250000000001</v>
      </c>
      <c r="H34" s="10">
        <f t="shared" ref="H34" si="45">H31*H33</f>
        <v>0.19702575000000003</v>
      </c>
      <c r="I34" s="10">
        <f t="shared" ref="I34" si="46">I31*I33</f>
        <v>0.20096626500000003</v>
      </c>
      <c r="J34" s="10">
        <f t="shared" ref="J34" si="47">J31*J33</f>
        <v>0.20498559030000002</v>
      </c>
      <c r="K34" s="10">
        <f t="shared" ref="K34" si="48">K31*K33</f>
        <v>0.20908530210600007</v>
      </c>
      <c r="L34" s="10">
        <f t="shared" ref="L34" si="49">L31*L33</f>
        <v>0.21326700814812008</v>
      </c>
      <c r="M34" s="10">
        <f t="shared" ref="M34" si="50">M31*M33</f>
        <v>0.21753234831108248</v>
      </c>
      <c r="N34" s="10">
        <f t="shared" ref="N34" si="51">N31*N33</f>
        <v>0.22188299527730415</v>
      </c>
      <c r="O34" s="10">
        <f t="shared" ref="O34" si="52">O31*O33</f>
        <v>0.22632065518285022</v>
      </c>
      <c r="P34" s="10">
        <f t="shared" ref="P34" si="53">P31*P33</f>
        <v>0.23084706828650725</v>
      </c>
    </row>
    <row r="35" spans="1:16"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spans="1:16">
      <c r="B36" s="20" t="s">
        <v>50</v>
      </c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B37" t="s">
        <v>51</v>
      </c>
      <c r="F37" s="14">
        <v>1.4999999999999999E-2</v>
      </c>
      <c r="G37" s="13">
        <f>F37</f>
        <v>1.4999999999999999E-2</v>
      </c>
      <c r="H37" s="13">
        <f t="shared" ref="H37:P37" si="54">G37</f>
        <v>1.4999999999999999E-2</v>
      </c>
      <c r="I37" s="13">
        <f t="shared" si="54"/>
        <v>1.4999999999999999E-2</v>
      </c>
      <c r="J37" s="13">
        <f t="shared" si="54"/>
        <v>1.4999999999999999E-2</v>
      </c>
      <c r="K37" s="13">
        <f t="shared" si="54"/>
        <v>1.4999999999999999E-2</v>
      </c>
      <c r="L37" s="13">
        <f t="shared" si="54"/>
        <v>1.4999999999999999E-2</v>
      </c>
      <c r="M37" s="13">
        <f t="shared" si="54"/>
        <v>1.4999999999999999E-2</v>
      </c>
      <c r="N37" s="13">
        <f t="shared" si="54"/>
        <v>1.4999999999999999E-2</v>
      </c>
      <c r="O37" s="13">
        <f t="shared" si="54"/>
        <v>1.4999999999999999E-2</v>
      </c>
      <c r="P37" s="13">
        <f t="shared" si="54"/>
        <v>1.4999999999999999E-2</v>
      </c>
    </row>
    <row r="38" spans="1:16">
      <c r="B38" s="4" t="s">
        <v>12</v>
      </c>
      <c r="C38" s="4"/>
      <c r="F38" s="14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>
      <c r="B39" t="s">
        <v>4</v>
      </c>
      <c r="F39" s="22">
        <f>E93</f>
        <v>20</v>
      </c>
      <c r="G39" s="12">
        <f>F42</f>
        <v>21.997499999999999</v>
      </c>
      <c r="H39" s="12">
        <f t="shared" ref="H39:P39" si="55">G42</f>
        <v>23.378025000000001</v>
      </c>
      <c r="I39" s="12">
        <f t="shared" si="55"/>
        <v>24.468639749999998</v>
      </c>
      <c r="J39" s="12">
        <f t="shared" si="55"/>
        <v>25.330225402499998</v>
      </c>
      <c r="K39" s="12">
        <f t="shared" si="55"/>
        <v>26.010878067974993</v>
      </c>
      <c r="L39" s="12">
        <f t="shared" si="55"/>
        <v>26.548593673700239</v>
      </c>
      <c r="M39" s="12">
        <f t="shared" si="55"/>
        <v>26.97338900222319</v>
      </c>
      <c r="N39" s="12">
        <f t="shared" si="55"/>
        <v>27.308977311756323</v>
      </c>
      <c r="O39" s="12">
        <f t="shared" si="55"/>
        <v>27.574092076287496</v>
      </c>
      <c r="P39" s="12">
        <f t="shared" si="55"/>
        <v>27.783532740267123</v>
      </c>
    </row>
    <row r="40" spans="1:16">
      <c r="B40" t="s">
        <v>17</v>
      </c>
      <c r="F40" s="22">
        <f>F42-F39-F41</f>
        <v>15.497499999999999</v>
      </c>
      <c r="G40" s="22">
        <f t="shared" ref="G40:P40" si="56">G42-G39-G41</f>
        <v>16.045525000000005</v>
      </c>
      <c r="H40" s="22">
        <f t="shared" si="56"/>
        <v>16.675964749999999</v>
      </c>
      <c r="I40" s="22">
        <f t="shared" si="56"/>
        <v>17.174012152500001</v>
      </c>
      <c r="J40" s="22">
        <f t="shared" si="56"/>
        <v>17.567469600474993</v>
      </c>
      <c r="K40" s="22">
        <f t="shared" si="56"/>
        <v>17.878300984375244</v>
      </c>
      <c r="L40" s="22">
        <f t="shared" si="56"/>
        <v>18.123857777656443</v>
      </c>
      <c r="M40" s="22">
        <f t="shared" si="56"/>
        <v>18.317847644348593</v>
      </c>
      <c r="N40" s="22">
        <f t="shared" si="56"/>
        <v>18.471099639035391</v>
      </c>
      <c r="O40" s="22">
        <f t="shared" si="56"/>
        <v>18.59216871483796</v>
      </c>
      <c r="P40" s="22">
        <f t="shared" si="56"/>
        <v>18.68781328472199</v>
      </c>
    </row>
    <row r="41" spans="1:16">
      <c r="B41" t="s">
        <v>11</v>
      </c>
      <c r="F41" s="22">
        <f t="shared" ref="F41:P41" si="57">F19</f>
        <v>-13.5</v>
      </c>
      <c r="G41" s="22">
        <f t="shared" si="57"/>
        <v>-14.665000000000001</v>
      </c>
      <c r="H41" s="22">
        <f t="shared" si="57"/>
        <v>-15.585350000000002</v>
      </c>
      <c r="I41" s="22">
        <f t="shared" si="57"/>
        <v>-16.312426500000001</v>
      </c>
      <c r="J41" s="22">
        <f t="shared" si="57"/>
        <v>-16.886816934999999</v>
      </c>
      <c r="K41" s="22">
        <f t="shared" si="57"/>
        <v>-17.340585378649997</v>
      </c>
      <c r="L41" s="22">
        <f t="shared" si="57"/>
        <v>-17.699062449133493</v>
      </c>
      <c r="M41" s="22">
        <f t="shared" si="57"/>
        <v>-17.98225933481546</v>
      </c>
      <c r="N41" s="22">
        <f t="shared" si="57"/>
        <v>-18.205984874504217</v>
      </c>
      <c r="O41" s="22">
        <f t="shared" si="57"/>
        <v>-18.382728050858333</v>
      </c>
      <c r="P41" s="22">
        <f t="shared" si="57"/>
        <v>-18.522355160178083</v>
      </c>
    </row>
    <row r="42" spans="1:16">
      <c r="B42" s="7" t="s">
        <v>7</v>
      </c>
      <c r="C42" s="7"/>
      <c r="F42" s="23">
        <f>F37*F20</f>
        <v>21.997499999999999</v>
      </c>
      <c r="G42" s="23">
        <f t="shared" ref="G42:P42" si="58">G37*G20</f>
        <v>23.378025000000001</v>
      </c>
      <c r="H42" s="23">
        <f t="shared" si="58"/>
        <v>24.468639749999998</v>
      </c>
      <c r="I42" s="23">
        <f t="shared" si="58"/>
        <v>25.330225402499998</v>
      </c>
      <c r="J42" s="23">
        <f t="shared" si="58"/>
        <v>26.010878067974993</v>
      </c>
      <c r="K42" s="23">
        <f t="shared" si="58"/>
        <v>26.548593673700239</v>
      </c>
      <c r="L42" s="23">
        <f t="shared" si="58"/>
        <v>26.97338900222319</v>
      </c>
      <c r="M42" s="23">
        <f t="shared" si="58"/>
        <v>27.308977311756323</v>
      </c>
      <c r="N42" s="23">
        <f t="shared" si="58"/>
        <v>27.574092076287496</v>
      </c>
      <c r="O42" s="23">
        <f t="shared" si="58"/>
        <v>27.783532740267123</v>
      </c>
      <c r="P42" s="23">
        <f t="shared" si="58"/>
        <v>27.94899086481103</v>
      </c>
    </row>
    <row r="44" spans="1:16">
      <c r="A44" s="3" t="s">
        <v>1</v>
      </c>
      <c r="B44" s="20" t="s">
        <v>52</v>
      </c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>
      <c r="B45" t="s">
        <v>62</v>
      </c>
      <c r="F45" s="16">
        <v>0.05</v>
      </c>
      <c r="G45" s="17">
        <f>F45</f>
        <v>0.05</v>
      </c>
      <c r="H45" s="17">
        <f t="shared" ref="H45:P46" si="59">G45</f>
        <v>0.05</v>
      </c>
      <c r="I45" s="17">
        <f t="shared" si="59"/>
        <v>0.05</v>
      </c>
      <c r="J45" s="17">
        <f t="shared" si="59"/>
        <v>0.05</v>
      </c>
      <c r="K45" s="17">
        <f t="shared" si="59"/>
        <v>0.05</v>
      </c>
      <c r="L45" s="17">
        <f t="shared" si="59"/>
        <v>0.05</v>
      </c>
      <c r="M45" s="17">
        <f t="shared" si="59"/>
        <v>0.05</v>
      </c>
      <c r="N45" s="17">
        <f t="shared" si="59"/>
        <v>0.05</v>
      </c>
      <c r="O45" s="17">
        <f t="shared" si="59"/>
        <v>0.05</v>
      </c>
      <c r="P45" s="17">
        <f t="shared" si="59"/>
        <v>0.05</v>
      </c>
    </row>
    <row r="46" spans="1:16">
      <c r="B46" t="s">
        <v>90</v>
      </c>
      <c r="E46" s="26" t="s">
        <v>54</v>
      </c>
      <c r="F46" s="14">
        <v>5.0000000000000001E-3</v>
      </c>
      <c r="G46" s="18">
        <f>F46</f>
        <v>5.0000000000000001E-3</v>
      </c>
      <c r="H46" s="18">
        <f t="shared" si="59"/>
        <v>5.0000000000000001E-3</v>
      </c>
      <c r="I46" s="18">
        <f t="shared" si="59"/>
        <v>5.0000000000000001E-3</v>
      </c>
      <c r="J46" s="18">
        <f t="shared" si="59"/>
        <v>5.0000000000000001E-3</v>
      </c>
      <c r="K46" s="18">
        <f t="shared" si="59"/>
        <v>5.0000000000000001E-3</v>
      </c>
      <c r="L46" s="18">
        <f t="shared" si="59"/>
        <v>5.0000000000000001E-3</v>
      </c>
      <c r="M46" s="18">
        <f t="shared" si="59"/>
        <v>5.0000000000000001E-3</v>
      </c>
      <c r="N46" s="18">
        <f t="shared" si="59"/>
        <v>5.0000000000000001E-3</v>
      </c>
      <c r="O46" s="18">
        <f t="shared" si="59"/>
        <v>5.0000000000000001E-3</v>
      </c>
      <c r="P46" s="18">
        <f t="shared" si="59"/>
        <v>5.0000000000000001E-3</v>
      </c>
    </row>
    <row r="47" spans="1:16">
      <c r="B47" t="s">
        <v>89</v>
      </c>
      <c r="E47" s="28">
        <f>E103</f>
        <v>1500</v>
      </c>
      <c r="F47" s="10">
        <f>E47*(1+F45)</f>
        <v>1575</v>
      </c>
      <c r="G47" s="10">
        <f t="shared" ref="G47:P47" si="60">F47*(1+G45)</f>
        <v>1653.75</v>
      </c>
      <c r="H47" s="10">
        <f t="shared" si="60"/>
        <v>1736.4375</v>
      </c>
      <c r="I47" s="10">
        <f t="shared" si="60"/>
        <v>1823.2593750000001</v>
      </c>
      <c r="J47" s="10">
        <f t="shared" si="60"/>
        <v>1914.4223437500002</v>
      </c>
      <c r="K47" s="10">
        <f t="shared" si="60"/>
        <v>2010.1434609375003</v>
      </c>
      <c r="L47" s="10">
        <f t="shared" si="60"/>
        <v>2110.6506339843754</v>
      </c>
      <c r="M47" s="10">
        <f t="shared" si="60"/>
        <v>2216.1831656835943</v>
      </c>
      <c r="N47" s="10">
        <f t="shared" si="60"/>
        <v>2326.9923239677742</v>
      </c>
      <c r="O47" s="10">
        <f t="shared" si="60"/>
        <v>2443.3419401661631</v>
      </c>
      <c r="P47" s="10">
        <f t="shared" si="60"/>
        <v>2565.5090371744714</v>
      </c>
    </row>
    <row r="48" spans="1:16">
      <c r="B48" t="s">
        <v>8</v>
      </c>
      <c r="F48" s="10">
        <f>AVERAGE(E47:F47)</f>
        <v>1537.5</v>
      </c>
      <c r="G48" s="10">
        <f t="shared" ref="G48:P48" si="61">AVERAGE(F47:G47)</f>
        <v>1614.375</v>
      </c>
      <c r="H48" s="10">
        <f t="shared" si="61"/>
        <v>1695.09375</v>
      </c>
      <c r="I48" s="10">
        <f t="shared" si="61"/>
        <v>1779.8484375</v>
      </c>
      <c r="J48" s="10">
        <f t="shared" si="61"/>
        <v>1868.840859375</v>
      </c>
      <c r="K48" s="10">
        <f t="shared" si="61"/>
        <v>1962.2829023437503</v>
      </c>
      <c r="L48" s="10">
        <f t="shared" si="61"/>
        <v>2060.3970474609378</v>
      </c>
      <c r="M48" s="10">
        <f t="shared" si="61"/>
        <v>2163.4168998339846</v>
      </c>
      <c r="N48" s="10">
        <f t="shared" si="61"/>
        <v>2271.5877448256842</v>
      </c>
      <c r="O48" s="10">
        <f t="shared" si="61"/>
        <v>2385.1671320669684</v>
      </c>
      <c r="P48" s="10">
        <f t="shared" si="61"/>
        <v>2504.4254886703175</v>
      </c>
    </row>
    <row r="49" spans="2:16">
      <c r="B49" t="s">
        <v>15</v>
      </c>
      <c r="F49" s="10">
        <f>F46*F48</f>
        <v>7.6875</v>
      </c>
      <c r="G49" s="10">
        <f t="shared" ref="G49:P49" si="62">G46*G48</f>
        <v>8.0718750000000004</v>
      </c>
      <c r="H49" s="10">
        <f t="shared" si="62"/>
        <v>8.475468750000001</v>
      </c>
      <c r="I49" s="10">
        <f t="shared" si="62"/>
        <v>8.8992421875000005</v>
      </c>
      <c r="J49" s="10">
        <f t="shared" si="62"/>
        <v>9.3442042968750005</v>
      </c>
      <c r="K49" s="10">
        <f t="shared" si="62"/>
        <v>9.8114145117187519</v>
      </c>
      <c r="L49" s="10">
        <f t="shared" si="62"/>
        <v>10.30198523730469</v>
      </c>
      <c r="M49" s="10">
        <f t="shared" si="62"/>
        <v>10.817084499169923</v>
      </c>
      <c r="N49" s="10">
        <f t="shared" si="62"/>
        <v>11.357938724128422</v>
      </c>
      <c r="O49" s="10">
        <f t="shared" si="62"/>
        <v>11.925835660334842</v>
      </c>
      <c r="P49" s="10">
        <f t="shared" si="62"/>
        <v>12.522127443351588</v>
      </c>
    </row>
    <row r="51" spans="2:16">
      <c r="B51" t="s">
        <v>148</v>
      </c>
      <c r="E51" s="26" t="s">
        <v>54</v>
      </c>
      <c r="F51" s="14">
        <v>0.01</v>
      </c>
      <c r="G51" s="18">
        <f>F51</f>
        <v>0.01</v>
      </c>
      <c r="H51" s="18">
        <f t="shared" ref="H51:P51" si="63">G51</f>
        <v>0.01</v>
      </c>
      <c r="I51" s="18">
        <f t="shared" si="63"/>
        <v>0.01</v>
      </c>
      <c r="J51" s="18">
        <f t="shared" si="63"/>
        <v>0.01</v>
      </c>
      <c r="K51" s="18">
        <f t="shared" si="63"/>
        <v>0.01</v>
      </c>
      <c r="L51" s="18">
        <f t="shared" si="63"/>
        <v>0.01</v>
      </c>
      <c r="M51" s="18">
        <f t="shared" si="63"/>
        <v>0.01</v>
      </c>
      <c r="N51" s="18">
        <f t="shared" si="63"/>
        <v>0.01</v>
      </c>
      <c r="O51" s="18">
        <f t="shared" si="63"/>
        <v>0.01</v>
      </c>
      <c r="P51" s="18">
        <f t="shared" si="63"/>
        <v>0.01</v>
      </c>
    </row>
    <row r="52" spans="2:16">
      <c r="B52" t="s">
        <v>91</v>
      </c>
      <c r="E52" s="28">
        <f>E104</f>
        <v>100</v>
      </c>
      <c r="F52" s="10">
        <f t="shared" ref="F52:P52" ca="1" si="64">F104</f>
        <v>234.36567254240433</v>
      </c>
      <c r="G52" s="10">
        <f t="shared" ca="1" si="64"/>
        <v>257.73038718701673</v>
      </c>
      <c r="H52" s="10">
        <f t="shared" ca="1" si="64"/>
        <v>252.57519534259191</v>
      </c>
      <c r="I52" s="10">
        <f t="shared" ca="1" si="64"/>
        <v>223.85104885347531</v>
      </c>
      <c r="J52" s="10">
        <f t="shared" ca="1" si="64"/>
        <v>175.41715899741726</v>
      </c>
      <c r="K52" s="10">
        <f t="shared" ca="1" si="64"/>
        <v>110.26765108785116</v>
      </c>
      <c r="L52" s="10">
        <f t="shared" ca="1" si="64"/>
        <v>30.710490872885885</v>
      </c>
      <c r="M52" s="10">
        <f t="shared" ca="1" si="64"/>
        <v>-61.491300886987716</v>
      </c>
      <c r="N52" s="10">
        <f t="shared" ca="1" si="64"/>
        <v>-165.00823304780587</v>
      </c>
      <c r="O52" s="10">
        <f t="shared" ca="1" si="64"/>
        <v>-278.85647729553068</v>
      </c>
      <c r="P52" s="10">
        <f t="shared" ca="1" si="64"/>
        <v>-402.32861231310864</v>
      </c>
    </row>
    <row r="53" spans="2:16">
      <c r="B53" t="s">
        <v>8</v>
      </c>
      <c r="F53" s="10">
        <f ca="1">AVERAGE(E52:F52)</f>
        <v>167.18283627120218</v>
      </c>
      <c r="G53" s="10">
        <f t="shared" ref="G53" ca="1" si="65">AVERAGE(F52:G52)</f>
        <v>246.04802986471054</v>
      </c>
      <c r="H53" s="10">
        <f t="shared" ref="H53" ca="1" si="66">AVERAGE(G52:H52)</f>
        <v>255.15279126480431</v>
      </c>
      <c r="I53" s="10">
        <f t="shared" ref="I53" ca="1" si="67">AVERAGE(H52:I52)</f>
        <v>238.21312209803361</v>
      </c>
      <c r="J53" s="10">
        <f t="shared" ref="J53" ca="1" si="68">AVERAGE(I52:J52)</f>
        <v>199.63410392544628</v>
      </c>
      <c r="K53" s="10">
        <f t="shared" ref="K53" ca="1" si="69">AVERAGE(J52:K52)</f>
        <v>142.8424050426342</v>
      </c>
      <c r="L53" s="10">
        <f t="shared" ref="L53" ca="1" si="70">AVERAGE(K52:L52)</f>
        <v>70.489070980368524</v>
      </c>
      <c r="M53" s="10">
        <f t="shared" ref="M53" ca="1" si="71">AVERAGE(L52:M52)</f>
        <v>-15.390405007050916</v>
      </c>
      <c r="N53" s="10">
        <f t="shared" ref="N53" ca="1" si="72">AVERAGE(M52:N52)</f>
        <v>-113.24976696739679</v>
      </c>
      <c r="O53" s="10">
        <f t="shared" ref="O53" ca="1" si="73">AVERAGE(N52:O52)</f>
        <v>-221.93235517166829</v>
      </c>
      <c r="P53" s="10">
        <f t="shared" ref="P53" ca="1" si="74">AVERAGE(O52:P52)</f>
        <v>-340.59254480431969</v>
      </c>
    </row>
    <row r="54" spans="2:16">
      <c r="B54" t="s">
        <v>15</v>
      </c>
      <c r="F54" s="10">
        <f ca="1">F51*F53</f>
        <v>1.6718283627120218</v>
      </c>
      <c r="G54" s="10">
        <f t="shared" ref="G54" ca="1" si="75">G51*G53</f>
        <v>2.4604802986471053</v>
      </c>
      <c r="H54" s="10">
        <f t="shared" ref="H54" ca="1" si="76">H51*H53</f>
        <v>2.551527912648043</v>
      </c>
      <c r="I54" s="10">
        <f t="shared" ref="I54" ca="1" si="77">I51*I53</f>
        <v>2.382131220980336</v>
      </c>
      <c r="J54" s="10">
        <f t="shared" ref="J54" ca="1" si="78">J51*J53</f>
        <v>1.9963410392544629</v>
      </c>
      <c r="K54" s="10">
        <f t="shared" ref="K54" ca="1" si="79">K51*K53</f>
        <v>1.4284240504263419</v>
      </c>
      <c r="L54" s="10">
        <f t="shared" ref="L54" ca="1" si="80">L51*L53</f>
        <v>0.70489070980368529</v>
      </c>
      <c r="M54" s="10">
        <f t="shared" ref="M54" ca="1" si="81">M51*M53</f>
        <v>-0.15390405007050917</v>
      </c>
      <c r="N54" s="10">
        <f t="shared" ref="N54" ca="1" si="82">N51*N53</f>
        <v>-1.1324976696739679</v>
      </c>
      <c r="O54" s="10">
        <f t="shared" ref="O54" ca="1" si="83">O51*O53</f>
        <v>-2.2193235517166832</v>
      </c>
      <c r="P54" s="10">
        <f t="shared" ref="P54" ca="1" si="84">P51*P53</f>
        <v>-3.4059254480431971</v>
      </c>
    </row>
    <row r="56" spans="2:16">
      <c r="B56" s="20" t="s">
        <v>64</v>
      </c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2:16">
      <c r="B57" t="s">
        <v>63</v>
      </c>
      <c r="F57" s="16">
        <v>0.02</v>
      </c>
      <c r="G57" s="17">
        <f>F57</f>
        <v>0.02</v>
      </c>
      <c r="H57" s="17">
        <f t="shared" ref="H57:P57" si="85">G57</f>
        <v>0.02</v>
      </c>
      <c r="I57" s="17">
        <f t="shared" si="85"/>
        <v>0.02</v>
      </c>
      <c r="J57" s="17">
        <f t="shared" si="85"/>
        <v>0.02</v>
      </c>
      <c r="K57" s="17">
        <f t="shared" si="85"/>
        <v>0.02</v>
      </c>
      <c r="L57" s="17">
        <f t="shared" si="85"/>
        <v>0.02</v>
      </c>
      <c r="M57" s="17">
        <f t="shared" si="85"/>
        <v>0.02</v>
      </c>
      <c r="N57" s="17">
        <f t="shared" si="85"/>
        <v>0.02</v>
      </c>
      <c r="O57" s="17">
        <f t="shared" si="85"/>
        <v>0.02</v>
      </c>
      <c r="P57" s="17">
        <f t="shared" si="85"/>
        <v>0.02</v>
      </c>
    </row>
    <row r="59" spans="2:16">
      <c r="B59" s="20" t="s">
        <v>112</v>
      </c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2:16">
      <c r="B60" t="s">
        <v>65</v>
      </c>
      <c r="F60" s="16">
        <v>0.2</v>
      </c>
      <c r="G60" s="17">
        <f>F60</f>
        <v>0.2</v>
      </c>
      <c r="H60" s="17">
        <f t="shared" ref="H60:P62" si="86">G60</f>
        <v>0.2</v>
      </c>
      <c r="I60" s="17">
        <f t="shared" si="86"/>
        <v>0.2</v>
      </c>
      <c r="J60" s="17">
        <f t="shared" si="86"/>
        <v>0.2</v>
      </c>
      <c r="K60" s="17">
        <f t="shared" si="86"/>
        <v>0.2</v>
      </c>
      <c r="L60" s="17">
        <f t="shared" si="86"/>
        <v>0.2</v>
      </c>
      <c r="M60" s="17">
        <f t="shared" si="86"/>
        <v>0.2</v>
      </c>
      <c r="N60" s="17">
        <f t="shared" si="86"/>
        <v>0.2</v>
      </c>
      <c r="O60" s="17">
        <f t="shared" si="86"/>
        <v>0.2</v>
      </c>
      <c r="P60" s="17">
        <f t="shared" si="86"/>
        <v>0.2</v>
      </c>
    </row>
    <row r="61" spans="2:16">
      <c r="B61" t="s">
        <v>66</v>
      </c>
      <c r="F61" s="16">
        <v>0.6</v>
      </c>
      <c r="G61" s="17">
        <f>F61</f>
        <v>0.6</v>
      </c>
      <c r="H61" s="17">
        <f t="shared" si="86"/>
        <v>0.6</v>
      </c>
      <c r="I61" s="17">
        <f t="shared" si="86"/>
        <v>0.6</v>
      </c>
      <c r="J61" s="17">
        <f t="shared" si="86"/>
        <v>0.6</v>
      </c>
      <c r="K61" s="17">
        <f t="shared" si="86"/>
        <v>0.6</v>
      </c>
      <c r="L61" s="17">
        <f t="shared" si="86"/>
        <v>0.6</v>
      </c>
      <c r="M61" s="17">
        <f t="shared" si="86"/>
        <v>0.6</v>
      </c>
      <c r="N61" s="17">
        <f t="shared" si="86"/>
        <v>0.6</v>
      </c>
      <c r="O61" s="17">
        <f t="shared" si="86"/>
        <v>0.6</v>
      </c>
      <c r="P61" s="17">
        <f t="shared" si="86"/>
        <v>0.6</v>
      </c>
    </row>
    <row r="62" spans="2:16">
      <c r="B62" t="s">
        <v>67</v>
      </c>
      <c r="F62" s="16">
        <v>0.35</v>
      </c>
      <c r="G62" s="17">
        <f>F62</f>
        <v>0.35</v>
      </c>
      <c r="H62" s="17">
        <f t="shared" si="86"/>
        <v>0.35</v>
      </c>
      <c r="I62" s="17">
        <f t="shared" si="86"/>
        <v>0.35</v>
      </c>
      <c r="J62" s="17">
        <f t="shared" si="86"/>
        <v>0.35</v>
      </c>
      <c r="K62" s="17">
        <f t="shared" si="86"/>
        <v>0.35</v>
      </c>
      <c r="L62" s="17">
        <f t="shared" si="86"/>
        <v>0.35</v>
      </c>
      <c r="M62" s="17">
        <f t="shared" si="86"/>
        <v>0.35</v>
      </c>
      <c r="N62" s="17">
        <f t="shared" si="86"/>
        <v>0.35</v>
      </c>
      <c r="O62" s="17">
        <f t="shared" si="86"/>
        <v>0.35</v>
      </c>
      <c r="P62" s="17">
        <f t="shared" si="86"/>
        <v>0.35</v>
      </c>
    </row>
    <row r="64" spans="2:16">
      <c r="B64" s="4" t="s">
        <v>14</v>
      </c>
      <c r="C64" s="4"/>
    </row>
    <row r="65" spans="1:16">
      <c r="A65" s="3" t="s">
        <v>1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7" spans="1:16">
      <c r="E67" s="5">
        <f>E$3</f>
        <v>41274</v>
      </c>
      <c r="F67" s="5">
        <f>F$3</f>
        <v>41639</v>
      </c>
      <c r="G67" s="5">
        <f t="shared" ref="G67:P67" si="87">G$3</f>
        <v>42004</v>
      </c>
      <c r="H67" s="5">
        <f t="shared" si="87"/>
        <v>42369</v>
      </c>
      <c r="I67" s="5">
        <f t="shared" si="87"/>
        <v>42735</v>
      </c>
      <c r="J67" s="5">
        <f t="shared" si="87"/>
        <v>43100</v>
      </c>
      <c r="K67" s="5">
        <f t="shared" si="87"/>
        <v>43465</v>
      </c>
      <c r="L67" s="5">
        <f t="shared" si="87"/>
        <v>43830</v>
      </c>
      <c r="M67" s="5">
        <f t="shared" si="87"/>
        <v>44196</v>
      </c>
      <c r="N67" s="5">
        <f t="shared" si="87"/>
        <v>44561</v>
      </c>
      <c r="O67" s="5">
        <f t="shared" si="87"/>
        <v>44926</v>
      </c>
      <c r="P67" s="5">
        <f t="shared" si="87"/>
        <v>45291</v>
      </c>
    </row>
    <row r="68" spans="1:16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>
      <c r="B69" s="20" t="s">
        <v>187</v>
      </c>
      <c r="C69" s="20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>
      <c r="B70" t="s">
        <v>113</v>
      </c>
      <c r="F70" s="12">
        <f>F22</f>
        <v>77.453749999999999</v>
      </c>
      <c r="G70" s="12">
        <f t="shared" ref="G70:P70" si="88">G22</f>
        <v>83.1884625</v>
      </c>
      <c r="H70" s="12">
        <f t="shared" si="88"/>
        <v>87.718885374999999</v>
      </c>
      <c r="I70" s="12">
        <f t="shared" si="88"/>
        <v>91.297919446249992</v>
      </c>
      <c r="J70" s="12">
        <f t="shared" si="88"/>
        <v>94.125356362537488</v>
      </c>
      <c r="K70" s="12">
        <f t="shared" si="88"/>
        <v>96.359031526404607</v>
      </c>
      <c r="L70" s="12">
        <f t="shared" si="88"/>
        <v>98.123634905859618</v>
      </c>
      <c r="M70" s="12">
        <f t="shared" si="88"/>
        <v>99.517671575629109</v>
      </c>
      <c r="N70" s="12">
        <f t="shared" si="88"/>
        <v>100.61896054474701</v>
      </c>
      <c r="O70" s="12">
        <f t="shared" si="88"/>
        <v>101.48897883035015</v>
      </c>
      <c r="P70" s="12">
        <f t="shared" si="88"/>
        <v>102.17629327597662</v>
      </c>
    </row>
    <row r="71" spans="1:16">
      <c r="B71" t="s">
        <v>115</v>
      </c>
      <c r="F71" s="12">
        <f>F29+F34</f>
        <v>10.775634374999999</v>
      </c>
      <c r="G71" s="12">
        <f t="shared" ref="G71:P71" si="89">G29+G34</f>
        <v>12.71902303125</v>
      </c>
      <c r="H71" s="12">
        <f t="shared" si="89"/>
        <v>13.3584471946875</v>
      </c>
      <c r="I71" s="12">
        <f t="shared" si="89"/>
        <v>13.870700663803124</v>
      </c>
      <c r="J71" s="12">
        <f t="shared" si="89"/>
        <v>14.282631452004466</v>
      </c>
      <c r="K71" s="12">
        <f t="shared" si="89"/>
        <v>14.615452333235528</v>
      </c>
      <c r="L71" s="12">
        <f t="shared" si="89"/>
        <v>14.885924299131103</v>
      </c>
      <c r="M71" s="12">
        <f t="shared" si="89"/>
        <v>15.107291491306114</v>
      </c>
      <c r="N71" s="12">
        <f t="shared" si="89"/>
        <v>15.290019799024224</v>
      </c>
      <c r="O71" s="12">
        <f t="shared" si="89"/>
        <v>15.442380352539377</v>
      </c>
      <c r="P71" s="12">
        <f t="shared" si="89"/>
        <v>15.570910484042553</v>
      </c>
    </row>
    <row r="72" spans="1:16">
      <c r="B72" s="7" t="s">
        <v>13</v>
      </c>
      <c r="F72" s="23">
        <f>SUM(F70:F71)</f>
        <v>88.229384374999995</v>
      </c>
      <c r="G72" s="23">
        <f t="shared" ref="G72:P72" si="90">SUM(G70:G71)</f>
        <v>95.907485531250003</v>
      </c>
      <c r="H72" s="23">
        <f t="shared" si="90"/>
        <v>101.0773325696875</v>
      </c>
      <c r="I72" s="23">
        <f t="shared" si="90"/>
        <v>105.16862011005311</v>
      </c>
      <c r="J72" s="23">
        <f t="shared" si="90"/>
        <v>108.40798781454195</v>
      </c>
      <c r="K72" s="23">
        <f t="shared" si="90"/>
        <v>110.97448385964013</v>
      </c>
      <c r="L72" s="23">
        <f t="shared" si="90"/>
        <v>113.00955920499072</v>
      </c>
      <c r="M72" s="23">
        <f t="shared" si="90"/>
        <v>114.62496306693522</v>
      </c>
      <c r="N72" s="23">
        <f t="shared" si="90"/>
        <v>115.90898034377123</v>
      </c>
      <c r="O72" s="23">
        <f t="shared" si="90"/>
        <v>116.93135918288952</v>
      </c>
      <c r="P72" s="23">
        <f t="shared" si="90"/>
        <v>117.74720376001918</v>
      </c>
    </row>
    <row r="73" spans="1:16">
      <c r="B73" t="s">
        <v>15</v>
      </c>
      <c r="F73" s="12">
        <f ca="1">F49+F54</f>
        <v>9.3593283627120218</v>
      </c>
      <c r="G73" s="12">
        <f t="shared" ref="G73:P73" ca="1" si="91">G49+G54</f>
        <v>10.532355298647106</v>
      </c>
      <c r="H73" s="12">
        <f t="shared" ca="1" si="91"/>
        <v>11.026996662648044</v>
      </c>
      <c r="I73" s="12">
        <f t="shared" ca="1" si="91"/>
        <v>11.281373408480336</v>
      </c>
      <c r="J73" s="12">
        <f t="shared" ca="1" si="91"/>
        <v>11.340545336129463</v>
      </c>
      <c r="K73" s="12">
        <f t="shared" ca="1" si="91"/>
        <v>11.239838562145094</v>
      </c>
      <c r="L73" s="12">
        <f t="shared" ca="1" si="91"/>
        <v>11.006875947108375</v>
      </c>
      <c r="M73" s="12">
        <f t="shared" ca="1" si="91"/>
        <v>10.663180449099414</v>
      </c>
      <c r="N73" s="12">
        <f t="shared" ca="1" si="91"/>
        <v>10.225441054454453</v>
      </c>
      <c r="O73" s="12">
        <f t="shared" ca="1" si="91"/>
        <v>9.7065121086181598</v>
      </c>
      <c r="P73" s="12">
        <f t="shared" ca="1" si="91"/>
        <v>9.1162019953083906</v>
      </c>
    </row>
    <row r="74" spans="1:16">
      <c r="B74" s="7" t="s">
        <v>16</v>
      </c>
      <c r="C74" s="7"/>
      <c r="F74" s="23">
        <f ca="1">F72-F73</f>
        <v>78.870056012287975</v>
      </c>
      <c r="G74" s="23">
        <f t="shared" ref="G74:P74" ca="1" si="92">G72-G73</f>
        <v>85.375130232602899</v>
      </c>
      <c r="H74" s="23">
        <f t="shared" ca="1" si="92"/>
        <v>90.050335907039454</v>
      </c>
      <c r="I74" s="23">
        <f t="shared" ca="1" si="92"/>
        <v>93.887246701572778</v>
      </c>
      <c r="J74" s="23">
        <f t="shared" ca="1" si="92"/>
        <v>97.067442478412488</v>
      </c>
      <c r="K74" s="23">
        <f t="shared" ca="1" si="92"/>
        <v>99.734645297495035</v>
      </c>
      <c r="L74" s="23">
        <f t="shared" ca="1" si="92"/>
        <v>102.00268325788235</v>
      </c>
      <c r="M74" s="23">
        <f t="shared" ca="1" si="92"/>
        <v>103.96178261783581</v>
      </c>
      <c r="N74" s="23">
        <f t="shared" ca="1" si="92"/>
        <v>105.68353928931678</v>
      </c>
      <c r="O74" s="23">
        <f t="shared" ca="1" si="92"/>
        <v>107.22484707427137</v>
      </c>
      <c r="P74" s="23">
        <f t="shared" ca="1" si="92"/>
        <v>108.63100176471079</v>
      </c>
    </row>
    <row r="75" spans="1:16">
      <c r="B75" t="s">
        <v>17</v>
      </c>
      <c r="F75" s="12">
        <f t="shared" ref="F75:P75" si="93">F40</f>
        <v>15.497499999999999</v>
      </c>
      <c r="G75" s="12">
        <f t="shared" si="93"/>
        <v>16.045525000000005</v>
      </c>
      <c r="H75" s="12">
        <f t="shared" si="93"/>
        <v>16.675964749999999</v>
      </c>
      <c r="I75" s="12">
        <f t="shared" si="93"/>
        <v>17.174012152500001</v>
      </c>
      <c r="J75" s="12">
        <f t="shared" si="93"/>
        <v>17.567469600474993</v>
      </c>
      <c r="K75" s="12">
        <f t="shared" si="93"/>
        <v>17.878300984375244</v>
      </c>
      <c r="L75" s="12">
        <f t="shared" si="93"/>
        <v>18.123857777656443</v>
      </c>
      <c r="M75" s="12">
        <f t="shared" si="93"/>
        <v>18.317847644348593</v>
      </c>
      <c r="N75" s="12">
        <f t="shared" si="93"/>
        <v>18.471099639035391</v>
      </c>
      <c r="O75" s="12">
        <f t="shared" si="93"/>
        <v>18.59216871483796</v>
      </c>
      <c r="P75" s="12">
        <f t="shared" si="93"/>
        <v>18.68781328472199</v>
      </c>
    </row>
    <row r="76" spans="1:16">
      <c r="B76" s="7" t="s">
        <v>18</v>
      </c>
      <c r="C76" s="7"/>
      <c r="F76" s="23">
        <f t="shared" ref="F76:P76" ca="1" si="94">F74-F75</f>
        <v>63.372556012287973</v>
      </c>
      <c r="G76" s="23">
        <f t="shared" ca="1" si="94"/>
        <v>69.329605232602887</v>
      </c>
      <c r="H76" s="23">
        <f t="shared" ca="1" si="94"/>
        <v>73.374371157039462</v>
      </c>
      <c r="I76" s="23">
        <f t="shared" ca="1" si="94"/>
        <v>76.71323454907278</v>
      </c>
      <c r="J76" s="23">
        <f t="shared" ca="1" si="94"/>
        <v>79.499972877937495</v>
      </c>
      <c r="K76" s="23">
        <f t="shared" ca="1" si="94"/>
        <v>81.856344313119791</v>
      </c>
      <c r="L76" s="23">
        <f t="shared" ca="1" si="94"/>
        <v>83.878825480225913</v>
      </c>
      <c r="M76" s="23">
        <f t="shared" ca="1" si="94"/>
        <v>85.64393497348722</v>
      </c>
      <c r="N76" s="23">
        <f t="shared" ca="1" si="94"/>
        <v>87.212439650281397</v>
      </c>
      <c r="O76" s="23">
        <f t="shared" ca="1" si="94"/>
        <v>88.632678359433413</v>
      </c>
      <c r="P76" s="23">
        <f t="shared" ca="1" si="94"/>
        <v>89.943188479988805</v>
      </c>
    </row>
    <row r="77" spans="1:16">
      <c r="B77" t="s">
        <v>19</v>
      </c>
      <c r="F77" s="12">
        <f t="shared" ref="F77:P77" ca="1" si="95">(F76*F60)/(1-F60)</f>
        <v>15.843139003071993</v>
      </c>
      <c r="G77" s="12">
        <f t="shared" ca="1" si="95"/>
        <v>17.332401308150722</v>
      </c>
      <c r="H77" s="12">
        <f t="shared" ca="1" si="95"/>
        <v>18.343592789259866</v>
      </c>
      <c r="I77" s="12">
        <f t="shared" ca="1" si="95"/>
        <v>19.178308637268195</v>
      </c>
      <c r="J77" s="12">
        <f t="shared" ca="1" si="95"/>
        <v>19.874993219484374</v>
      </c>
      <c r="K77" s="12">
        <f t="shared" ca="1" si="95"/>
        <v>20.464086078279948</v>
      </c>
      <c r="L77" s="12">
        <f t="shared" ca="1" si="95"/>
        <v>20.969706370056478</v>
      </c>
      <c r="M77" s="12">
        <f t="shared" ca="1" si="95"/>
        <v>21.410983743371805</v>
      </c>
      <c r="N77" s="12">
        <f t="shared" ca="1" si="95"/>
        <v>21.803109912570349</v>
      </c>
      <c r="O77" s="12">
        <f t="shared" ca="1" si="95"/>
        <v>22.158169589858353</v>
      </c>
      <c r="P77" s="12">
        <f t="shared" ca="1" si="95"/>
        <v>22.485797119997201</v>
      </c>
    </row>
    <row r="78" spans="1:16">
      <c r="B78" s="7" t="s">
        <v>22</v>
      </c>
      <c r="C78" s="7"/>
      <c r="F78" s="23">
        <f ca="1">F76+F77</f>
        <v>79.215695015359969</v>
      </c>
      <c r="G78" s="23">
        <f t="shared" ref="G78:P78" ca="1" si="96">G76+G77</f>
        <v>86.662006540753609</v>
      </c>
      <c r="H78" s="23">
        <f t="shared" ca="1" si="96"/>
        <v>91.717963946299335</v>
      </c>
      <c r="I78" s="23">
        <f t="shared" ca="1" si="96"/>
        <v>95.891543186340982</v>
      </c>
      <c r="J78" s="23">
        <f t="shared" ca="1" si="96"/>
        <v>99.374966097421861</v>
      </c>
      <c r="K78" s="23">
        <f t="shared" ca="1" si="96"/>
        <v>102.32043039139974</v>
      </c>
      <c r="L78" s="23">
        <f t="shared" ca="1" si="96"/>
        <v>104.8485318502824</v>
      </c>
      <c r="M78" s="23">
        <f t="shared" ca="1" si="96"/>
        <v>107.05491871685902</v>
      </c>
      <c r="N78" s="23">
        <f t="shared" ca="1" si="96"/>
        <v>109.01554956285175</v>
      </c>
      <c r="O78" s="23">
        <f t="shared" ca="1" si="96"/>
        <v>110.79084794929176</v>
      </c>
      <c r="P78" s="23">
        <f t="shared" ca="1" si="96"/>
        <v>112.42898559998601</v>
      </c>
    </row>
    <row r="79" spans="1:16">
      <c r="B79" t="s">
        <v>20</v>
      </c>
      <c r="F79" s="12">
        <f t="shared" ref="F79:P79" ca="1" si="97">F78*F61</f>
        <v>47.529417009215983</v>
      </c>
      <c r="G79" s="12">
        <f t="shared" ca="1" si="97"/>
        <v>51.997203924452165</v>
      </c>
      <c r="H79" s="12">
        <f t="shared" ca="1" si="97"/>
        <v>55.030778367779597</v>
      </c>
      <c r="I79" s="12">
        <f t="shared" ca="1" si="97"/>
        <v>57.534925911804585</v>
      </c>
      <c r="J79" s="12">
        <f t="shared" ca="1" si="97"/>
        <v>59.624979658453114</v>
      </c>
      <c r="K79" s="12">
        <f t="shared" ca="1" si="97"/>
        <v>61.392258234839844</v>
      </c>
      <c r="L79" s="12">
        <f t="shared" ca="1" si="97"/>
        <v>62.909119110169435</v>
      </c>
      <c r="M79" s="12">
        <f t="shared" ca="1" si="97"/>
        <v>64.232951230115404</v>
      </c>
      <c r="N79" s="12">
        <f t="shared" ca="1" si="97"/>
        <v>65.409329737711047</v>
      </c>
      <c r="O79" s="12">
        <f t="shared" ca="1" si="97"/>
        <v>66.474508769575053</v>
      </c>
      <c r="P79" s="12">
        <f t="shared" ca="1" si="97"/>
        <v>67.457391359991604</v>
      </c>
    </row>
    <row r="80" spans="1:16">
      <c r="B80" t="s">
        <v>21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</row>
    <row r="81" spans="2:18">
      <c r="B81" s="7" t="s">
        <v>23</v>
      </c>
      <c r="C81" s="7"/>
      <c r="F81" s="23">
        <f ca="1">SUM(F79:F80)</f>
        <v>47.529417009215983</v>
      </c>
      <c r="G81" s="23">
        <f t="shared" ref="G81:P81" ca="1" si="98">SUM(G79:G80)</f>
        <v>51.997203924452165</v>
      </c>
      <c r="H81" s="23">
        <f t="shared" ca="1" si="98"/>
        <v>55.030778367779597</v>
      </c>
      <c r="I81" s="23">
        <f t="shared" ca="1" si="98"/>
        <v>57.534925911804585</v>
      </c>
      <c r="J81" s="23">
        <f t="shared" ca="1" si="98"/>
        <v>59.624979658453114</v>
      </c>
      <c r="K81" s="23">
        <f t="shared" ca="1" si="98"/>
        <v>61.392258234839844</v>
      </c>
      <c r="L81" s="23">
        <f t="shared" ca="1" si="98"/>
        <v>62.909119110169435</v>
      </c>
      <c r="M81" s="23">
        <f t="shared" ca="1" si="98"/>
        <v>64.232951230115404</v>
      </c>
      <c r="N81" s="23">
        <f t="shared" ca="1" si="98"/>
        <v>65.409329737711047</v>
      </c>
      <c r="O81" s="23">
        <f t="shared" ca="1" si="98"/>
        <v>66.474508769575053</v>
      </c>
      <c r="P81" s="23">
        <f t="shared" ca="1" si="98"/>
        <v>67.457391359991604</v>
      </c>
    </row>
    <row r="82" spans="2:18">
      <c r="B82" s="7" t="s">
        <v>24</v>
      </c>
      <c r="C82" s="7"/>
      <c r="F82" s="23">
        <f ca="1">F78-F81</f>
        <v>31.686278006143986</v>
      </c>
      <c r="G82" s="23">
        <f t="shared" ref="G82:P82" ca="1" si="99">G78-G81</f>
        <v>34.664802616301444</v>
      </c>
      <c r="H82" s="23">
        <f t="shared" ca="1" si="99"/>
        <v>36.687185578519738</v>
      </c>
      <c r="I82" s="23">
        <f t="shared" ca="1" si="99"/>
        <v>38.356617274536397</v>
      </c>
      <c r="J82" s="23">
        <f t="shared" ca="1" si="99"/>
        <v>39.749986438968747</v>
      </c>
      <c r="K82" s="23">
        <f t="shared" ca="1" si="99"/>
        <v>40.928172156559896</v>
      </c>
      <c r="L82" s="23">
        <f t="shared" ca="1" si="99"/>
        <v>41.939412740112964</v>
      </c>
      <c r="M82" s="23">
        <f t="shared" ca="1" si="99"/>
        <v>42.821967486743617</v>
      </c>
      <c r="N82" s="23">
        <f t="shared" ca="1" si="99"/>
        <v>43.606219825140698</v>
      </c>
      <c r="O82" s="23">
        <f t="shared" ca="1" si="99"/>
        <v>44.316339179716707</v>
      </c>
      <c r="P82" s="23">
        <f t="shared" ca="1" si="99"/>
        <v>44.971594239994403</v>
      </c>
    </row>
    <row r="83" spans="2:18">
      <c r="B83" t="s">
        <v>25</v>
      </c>
      <c r="F83" s="12">
        <f t="shared" ref="F83:P83" ca="1" si="100">F82*F62</f>
        <v>11.090197302150395</v>
      </c>
      <c r="G83" s="12">
        <f t="shared" ca="1" si="100"/>
        <v>12.132680915705505</v>
      </c>
      <c r="H83" s="12">
        <f t="shared" ca="1" si="100"/>
        <v>12.840514952481907</v>
      </c>
      <c r="I83" s="12">
        <f t="shared" ca="1" si="100"/>
        <v>13.424816046087738</v>
      </c>
      <c r="J83" s="12">
        <f t="shared" ca="1" si="100"/>
        <v>13.912495253639062</v>
      </c>
      <c r="K83" s="12">
        <f t="shared" ca="1" si="100"/>
        <v>14.324860254795963</v>
      </c>
      <c r="L83" s="12">
        <f t="shared" ca="1" si="100"/>
        <v>14.678794459039537</v>
      </c>
      <c r="M83" s="12">
        <f t="shared" ca="1" si="100"/>
        <v>14.987688620360265</v>
      </c>
      <c r="N83" s="12">
        <f t="shared" ca="1" si="100"/>
        <v>15.262176938799243</v>
      </c>
      <c r="O83" s="12">
        <f t="shared" ca="1" si="100"/>
        <v>15.510718712900847</v>
      </c>
      <c r="P83" s="12">
        <f t="shared" ca="1" si="100"/>
        <v>15.740057983998041</v>
      </c>
    </row>
    <row r="84" spans="2:18">
      <c r="B84" s="7" t="s">
        <v>26</v>
      </c>
      <c r="C84" s="7"/>
      <c r="F84" s="23">
        <f ca="1">F82-F83</f>
        <v>20.596080703993593</v>
      </c>
      <c r="G84" s="23">
        <f t="shared" ref="G84:P84" ca="1" si="101">G82-G83</f>
        <v>22.532121700595937</v>
      </c>
      <c r="H84" s="23">
        <f t="shared" ca="1" si="101"/>
        <v>23.846670626037831</v>
      </c>
      <c r="I84" s="23">
        <f t="shared" ca="1" si="101"/>
        <v>24.931801228448659</v>
      </c>
      <c r="J84" s="23">
        <f t="shared" ca="1" si="101"/>
        <v>25.837491185329686</v>
      </c>
      <c r="K84" s="23">
        <f t="shared" ca="1" si="101"/>
        <v>26.603311901763931</v>
      </c>
      <c r="L84" s="23">
        <f t="shared" ca="1" si="101"/>
        <v>27.260618281073427</v>
      </c>
      <c r="M84" s="23">
        <f t="shared" ca="1" si="101"/>
        <v>27.83427886638335</v>
      </c>
      <c r="N84" s="23">
        <f t="shared" ca="1" si="101"/>
        <v>28.344042886341455</v>
      </c>
      <c r="O84" s="23">
        <f t="shared" ca="1" si="101"/>
        <v>28.80562046681586</v>
      </c>
      <c r="P84" s="23">
        <f t="shared" ca="1" si="101"/>
        <v>29.23153625599636</v>
      </c>
    </row>
    <row r="85" spans="2:18">
      <c r="B85" t="s">
        <v>27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</row>
    <row r="86" spans="2:18">
      <c r="B86" s="7" t="s">
        <v>28</v>
      </c>
      <c r="C86" s="7"/>
      <c r="F86" s="23">
        <f t="shared" ref="F86:P86" ca="1" si="102">F84-F85</f>
        <v>20.596080703993593</v>
      </c>
      <c r="G86" s="23">
        <f t="shared" ca="1" si="102"/>
        <v>22.532121700595937</v>
      </c>
      <c r="H86" s="23">
        <f t="shared" ca="1" si="102"/>
        <v>23.846670626037831</v>
      </c>
      <c r="I86" s="23">
        <f t="shared" ca="1" si="102"/>
        <v>24.931801228448659</v>
      </c>
      <c r="J86" s="23">
        <f t="shared" ca="1" si="102"/>
        <v>25.837491185329686</v>
      </c>
      <c r="K86" s="23">
        <f t="shared" ca="1" si="102"/>
        <v>26.603311901763931</v>
      </c>
      <c r="L86" s="23">
        <f t="shared" ca="1" si="102"/>
        <v>27.260618281073427</v>
      </c>
      <c r="M86" s="23">
        <f t="shared" ca="1" si="102"/>
        <v>27.83427886638335</v>
      </c>
      <c r="N86" s="23">
        <f t="shared" ca="1" si="102"/>
        <v>28.344042886341455</v>
      </c>
      <c r="O86" s="23">
        <f t="shared" ca="1" si="102"/>
        <v>28.80562046681586</v>
      </c>
      <c r="P86" s="23">
        <f t="shared" ca="1" si="102"/>
        <v>29.23153625599636</v>
      </c>
    </row>
    <row r="88" spans="2:18">
      <c r="B88" s="20" t="s">
        <v>29</v>
      </c>
      <c r="C88" s="20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R88" s="80"/>
    </row>
    <row r="89" spans="2:18">
      <c r="B89" s="4" t="s">
        <v>39</v>
      </c>
      <c r="C89" s="4"/>
      <c r="E89" s="26" t="s">
        <v>54</v>
      </c>
      <c r="R89" s="80"/>
    </row>
    <row r="90" spans="2:18">
      <c r="B90" t="s">
        <v>30</v>
      </c>
      <c r="E90" s="25">
        <v>75</v>
      </c>
      <c r="F90" s="12">
        <f>E90*(1+F$57)</f>
        <v>76.5</v>
      </c>
      <c r="G90" s="12">
        <f t="shared" ref="G90:P90" si="103">F90*(1+G$57)</f>
        <v>78.03</v>
      </c>
      <c r="H90" s="12">
        <f t="shared" si="103"/>
        <v>79.590600000000009</v>
      </c>
      <c r="I90" s="12">
        <f t="shared" si="103"/>
        <v>81.182412000000014</v>
      </c>
      <c r="J90" s="12">
        <f t="shared" si="103"/>
        <v>82.806060240000022</v>
      </c>
      <c r="K90" s="12">
        <f t="shared" si="103"/>
        <v>84.462181444800024</v>
      </c>
      <c r="L90" s="12">
        <f t="shared" si="103"/>
        <v>86.151425073696032</v>
      </c>
      <c r="M90" s="12">
        <f t="shared" si="103"/>
        <v>87.874453575169952</v>
      </c>
      <c r="N90" s="12">
        <f t="shared" si="103"/>
        <v>89.631942646673352</v>
      </c>
      <c r="O90" s="12">
        <f t="shared" si="103"/>
        <v>91.424581499606816</v>
      </c>
      <c r="P90" s="12">
        <f t="shared" si="103"/>
        <v>93.25307312959896</v>
      </c>
      <c r="R90" s="123" t="s">
        <v>56</v>
      </c>
    </row>
    <row r="91" spans="2:18">
      <c r="B91" t="s">
        <v>31</v>
      </c>
      <c r="E91" s="25">
        <v>300</v>
      </c>
      <c r="F91" s="12">
        <f t="shared" ref="F91:P91" si="104">(SUM(F90,F94:F99)*F$25)/(1-F$25)</f>
        <v>405.75062500000001</v>
      </c>
      <c r="G91" s="12">
        <f t="shared" si="104"/>
        <v>429.30674375000001</v>
      </c>
      <c r="H91" s="12">
        <f t="shared" si="104"/>
        <v>448.12135256250002</v>
      </c>
      <c r="I91" s="12">
        <f t="shared" si="104"/>
        <v>463.19427402437498</v>
      </c>
      <c r="J91" s="12">
        <f t="shared" si="104"/>
        <v>475.31545008925616</v>
      </c>
      <c r="K91" s="12">
        <f t="shared" si="104"/>
        <v>485.10901865271234</v>
      </c>
      <c r="L91" s="12">
        <f t="shared" si="104"/>
        <v>493.06813407948664</v>
      </c>
      <c r="M91" s="12">
        <f t="shared" si="104"/>
        <v>499.58247545351543</v>
      </c>
      <c r="N91" s="12">
        <f t="shared" si="104"/>
        <v>504.95997812961264</v>
      </c>
      <c r="O91" s="12">
        <f t="shared" si="104"/>
        <v>509.44400169415587</v>
      </c>
      <c r="P91" s="12">
        <f t="shared" si="104"/>
        <v>513.2268926895805</v>
      </c>
      <c r="R91" s="123" t="s">
        <v>61</v>
      </c>
    </row>
    <row r="92" spans="2:18">
      <c r="B92" t="s">
        <v>32</v>
      </c>
      <c r="E92" s="25">
        <v>1350</v>
      </c>
      <c r="F92" s="12">
        <f>F20</f>
        <v>1466.5</v>
      </c>
      <c r="G92" s="12">
        <f t="shared" ref="G92:P92" si="105">G20</f>
        <v>1558.5350000000001</v>
      </c>
      <c r="H92" s="12">
        <f t="shared" si="105"/>
        <v>1631.2426499999999</v>
      </c>
      <c r="I92" s="12">
        <f t="shared" si="105"/>
        <v>1688.6816934999999</v>
      </c>
      <c r="J92" s="12">
        <f t="shared" si="105"/>
        <v>1734.0585378649996</v>
      </c>
      <c r="K92" s="12">
        <f t="shared" si="105"/>
        <v>1769.9062449133494</v>
      </c>
      <c r="L92" s="12">
        <f t="shared" si="105"/>
        <v>1798.225933481546</v>
      </c>
      <c r="M92" s="12">
        <f t="shared" si="105"/>
        <v>1820.5984874504215</v>
      </c>
      <c r="N92" s="12">
        <f t="shared" si="105"/>
        <v>1838.2728050858332</v>
      </c>
      <c r="O92" s="12">
        <f t="shared" si="105"/>
        <v>1852.2355160178083</v>
      </c>
      <c r="P92" s="12">
        <f t="shared" si="105"/>
        <v>1863.2660576540688</v>
      </c>
      <c r="R92" s="80"/>
    </row>
    <row r="93" spans="2:18">
      <c r="B93" t="s">
        <v>50</v>
      </c>
      <c r="E93" s="25">
        <v>20</v>
      </c>
      <c r="F93" s="12">
        <f t="shared" ref="F93:P93" si="106">F42</f>
        <v>21.997499999999999</v>
      </c>
      <c r="G93" s="12">
        <f t="shared" si="106"/>
        <v>23.378025000000001</v>
      </c>
      <c r="H93" s="12">
        <f t="shared" si="106"/>
        <v>24.468639749999998</v>
      </c>
      <c r="I93" s="12">
        <f t="shared" si="106"/>
        <v>25.330225402499998</v>
      </c>
      <c r="J93" s="12">
        <f t="shared" si="106"/>
        <v>26.010878067974993</v>
      </c>
      <c r="K93" s="12">
        <f t="shared" si="106"/>
        <v>26.548593673700239</v>
      </c>
      <c r="L93" s="12">
        <f t="shared" si="106"/>
        <v>26.97338900222319</v>
      </c>
      <c r="M93" s="12">
        <f t="shared" si="106"/>
        <v>27.308977311756323</v>
      </c>
      <c r="N93" s="12">
        <f t="shared" si="106"/>
        <v>27.574092076287496</v>
      </c>
      <c r="O93" s="12">
        <f t="shared" si="106"/>
        <v>27.783532740267123</v>
      </c>
      <c r="P93" s="12">
        <f t="shared" si="106"/>
        <v>27.94899086481103</v>
      </c>
      <c r="R93" s="80"/>
    </row>
    <row r="94" spans="2:18">
      <c r="B94" s="7" t="s">
        <v>33</v>
      </c>
      <c r="E94" s="23">
        <f>E92-E93</f>
        <v>1330</v>
      </c>
      <c r="F94" s="23">
        <f t="shared" ref="F94:P94" si="107">F92-F93</f>
        <v>1444.5025000000001</v>
      </c>
      <c r="G94" s="23">
        <f t="shared" si="107"/>
        <v>1535.1569750000001</v>
      </c>
      <c r="H94" s="23">
        <f t="shared" si="107"/>
        <v>1606.7740102499999</v>
      </c>
      <c r="I94" s="23">
        <f t="shared" si="107"/>
        <v>1663.3514680974999</v>
      </c>
      <c r="J94" s="23">
        <f t="shared" si="107"/>
        <v>1708.0476597970246</v>
      </c>
      <c r="K94" s="23">
        <f t="shared" si="107"/>
        <v>1743.3576512396492</v>
      </c>
      <c r="L94" s="23">
        <f t="shared" si="107"/>
        <v>1771.2525444793228</v>
      </c>
      <c r="M94" s="23">
        <f t="shared" si="107"/>
        <v>1793.2895101386653</v>
      </c>
      <c r="N94" s="23">
        <f t="shared" si="107"/>
        <v>1810.6987130095456</v>
      </c>
      <c r="O94" s="23">
        <f t="shared" si="107"/>
        <v>1824.4519832775411</v>
      </c>
      <c r="P94" s="23">
        <f t="shared" si="107"/>
        <v>1835.3170667892578</v>
      </c>
      <c r="R94" s="123" t="s">
        <v>57</v>
      </c>
    </row>
    <row r="95" spans="2:18">
      <c r="B95" t="s">
        <v>35</v>
      </c>
      <c r="E95" s="25">
        <v>0</v>
      </c>
      <c r="F95" s="12">
        <f>E95</f>
        <v>0</v>
      </c>
      <c r="G95" s="12">
        <f t="shared" ref="G95:P95" si="108">F95</f>
        <v>0</v>
      </c>
      <c r="H95" s="12">
        <f t="shared" si="108"/>
        <v>0</v>
      </c>
      <c r="I95" s="12">
        <f t="shared" si="108"/>
        <v>0</v>
      </c>
      <c r="J95" s="12">
        <f t="shared" si="108"/>
        <v>0</v>
      </c>
      <c r="K95" s="12">
        <f t="shared" si="108"/>
        <v>0</v>
      </c>
      <c r="L95" s="12">
        <f t="shared" si="108"/>
        <v>0</v>
      </c>
      <c r="M95" s="12">
        <f t="shared" si="108"/>
        <v>0</v>
      </c>
      <c r="N95" s="12">
        <f t="shared" si="108"/>
        <v>0</v>
      </c>
      <c r="O95" s="12">
        <f t="shared" si="108"/>
        <v>0</v>
      </c>
      <c r="P95" s="12">
        <f t="shared" si="108"/>
        <v>0</v>
      </c>
      <c r="R95" s="123" t="s">
        <v>55</v>
      </c>
    </row>
    <row r="96" spans="2:18">
      <c r="B96" t="s">
        <v>36</v>
      </c>
      <c r="E96" s="25">
        <v>0</v>
      </c>
      <c r="F96" s="12">
        <f>E96</f>
        <v>0</v>
      </c>
      <c r="G96" s="12">
        <f t="shared" ref="G96:P96" si="109">F96</f>
        <v>0</v>
      </c>
      <c r="H96" s="12">
        <f t="shared" si="109"/>
        <v>0</v>
      </c>
      <c r="I96" s="12">
        <f t="shared" si="109"/>
        <v>0</v>
      </c>
      <c r="J96" s="12">
        <f t="shared" si="109"/>
        <v>0</v>
      </c>
      <c r="K96" s="12">
        <f t="shared" si="109"/>
        <v>0</v>
      </c>
      <c r="L96" s="12">
        <f t="shared" si="109"/>
        <v>0</v>
      </c>
      <c r="M96" s="12">
        <f t="shared" si="109"/>
        <v>0</v>
      </c>
      <c r="N96" s="12">
        <f t="shared" si="109"/>
        <v>0</v>
      </c>
      <c r="O96" s="12">
        <f t="shared" si="109"/>
        <v>0</v>
      </c>
      <c r="P96" s="12">
        <f t="shared" si="109"/>
        <v>0</v>
      </c>
      <c r="R96" s="123" t="s">
        <v>55</v>
      </c>
    </row>
    <row r="97" spans="2:18">
      <c r="B97" t="s">
        <v>53</v>
      </c>
      <c r="E97" s="25">
        <v>0</v>
      </c>
      <c r="F97" s="12">
        <f>E97</f>
        <v>0</v>
      </c>
      <c r="G97" s="12">
        <f t="shared" ref="G97:P97" si="110">F97</f>
        <v>0</v>
      </c>
      <c r="H97" s="12">
        <f t="shared" si="110"/>
        <v>0</v>
      </c>
      <c r="I97" s="12">
        <f t="shared" si="110"/>
        <v>0</v>
      </c>
      <c r="J97" s="12">
        <f t="shared" si="110"/>
        <v>0</v>
      </c>
      <c r="K97" s="12">
        <f t="shared" si="110"/>
        <v>0</v>
      </c>
      <c r="L97" s="12">
        <f t="shared" si="110"/>
        <v>0</v>
      </c>
      <c r="M97" s="12">
        <f t="shared" si="110"/>
        <v>0</v>
      </c>
      <c r="N97" s="12">
        <f t="shared" si="110"/>
        <v>0</v>
      </c>
      <c r="O97" s="12">
        <f t="shared" si="110"/>
        <v>0</v>
      </c>
      <c r="P97" s="12">
        <f t="shared" si="110"/>
        <v>0</v>
      </c>
      <c r="R97" s="123" t="s">
        <v>55</v>
      </c>
    </row>
    <row r="98" spans="2:18">
      <c r="B98" t="s">
        <v>34</v>
      </c>
      <c r="E98" s="25">
        <v>50</v>
      </c>
      <c r="F98" s="12">
        <f>E98*(1+F$57)</f>
        <v>51</v>
      </c>
      <c r="G98" s="12">
        <f t="shared" ref="G98:P99" si="111">F98*(1+G$57)</f>
        <v>52.02</v>
      </c>
      <c r="H98" s="12">
        <f t="shared" si="111"/>
        <v>53.060400000000001</v>
      </c>
      <c r="I98" s="12">
        <f t="shared" si="111"/>
        <v>54.121608000000002</v>
      </c>
      <c r="J98" s="12">
        <f t="shared" si="111"/>
        <v>55.204040160000005</v>
      </c>
      <c r="K98" s="12">
        <f t="shared" si="111"/>
        <v>56.308120963200004</v>
      </c>
      <c r="L98" s="12">
        <f t="shared" si="111"/>
        <v>57.434283382464002</v>
      </c>
      <c r="M98" s="12">
        <f t="shared" si="111"/>
        <v>58.582969050113284</v>
      </c>
      <c r="N98" s="12">
        <f t="shared" si="111"/>
        <v>59.754628431115549</v>
      </c>
      <c r="O98" s="12">
        <f t="shared" si="111"/>
        <v>60.949720999737863</v>
      </c>
      <c r="P98" s="12">
        <f t="shared" si="111"/>
        <v>62.168715419732621</v>
      </c>
      <c r="R98" s="123" t="s">
        <v>56</v>
      </c>
    </row>
    <row r="99" spans="2:18">
      <c r="B99" t="s">
        <v>37</v>
      </c>
      <c r="E99" s="25">
        <v>50</v>
      </c>
      <c r="F99" s="12">
        <f>E99*(1+F$57)</f>
        <v>51</v>
      </c>
      <c r="G99" s="12">
        <f t="shared" si="111"/>
        <v>52.02</v>
      </c>
      <c r="H99" s="12">
        <f t="shared" si="111"/>
        <v>53.060400000000001</v>
      </c>
      <c r="I99" s="12">
        <f t="shared" si="111"/>
        <v>54.121608000000002</v>
      </c>
      <c r="J99" s="12">
        <f t="shared" si="111"/>
        <v>55.204040160000005</v>
      </c>
      <c r="K99" s="12">
        <f t="shared" si="111"/>
        <v>56.308120963200004</v>
      </c>
      <c r="L99" s="12">
        <f t="shared" si="111"/>
        <v>57.434283382464002</v>
      </c>
      <c r="M99" s="12">
        <f t="shared" si="111"/>
        <v>58.582969050113284</v>
      </c>
      <c r="N99" s="12">
        <f t="shared" si="111"/>
        <v>59.754628431115549</v>
      </c>
      <c r="O99" s="12">
        <f t="shared" si="111"/>
        <v>60.949720999737863</v>
      </c>
      <c r="P99" s="12">
        <f t="shared" si="111"/>
        <v>62.168715419732621</v>
      </c>
      <c r="R99" s="123" t="s">
        <v>56</v>
      </c>
    </row>
    <row r="100" spans="2:18">
      <c r="B100" s="7" t="s">
        <v>38</v>
      </c>
      <c r="C100" s="7"/>
      <c r="E100" s="23">
        <f>SUM(E90:E91,E94:E99)</f>
        <v>1805</v>
      </c>
      <c r="F100" s="23">
        <f>SUM(F90:F91,F94:F99)</f>
        <v>2028.7531250000002</v>
      </c>
      <c r="G100" s="23">
        <f t="shared" ref="G100:P100" si="112">SUM(G90:G91,G94:G99)</f>
        <v>2146.5337187499999</v>
      </c>
      <c r="H100" s="23">
        <f t="shared" si="112"/>
        <v>2240.6067628124997</v>
      </c>
      <c r="I100" s="23">
        <f t="shared" si="112"/>
        <v>2315.9713701218748</v>
      </c>
      <c r="J100" s="23">
        <f t="shared" si="112"/>
        <v>2376.5772504462811</v>
      </c>
      <c r="K100" s="23">
        <f t="shared" si="112"/>
        <v>2425.5450932635617</v>
      </c>
      <c r="L100" s="23">
        <f t="shared" si="112"/>
        <v>2465.3406703974333</v>
      </c>
      <c r="M100" s="23">
        <f t="shared" si="112"/>
        <v>2497.9123772675771</v>
      </c>
      <c r="N100" s="23">
        <f t="shared" si="112"/>
        <v>2524.799890648063</v>
      </c>
      <c r="O100" s="23">
        <f t="shared" si="112"/>
        <v>2547.2200084707797</v>
      </c>
      <c r="P100" s="23">
        <f t="shared" si="112"/>
        <v>2566.1344634479024</v>
      </c>
      <c r="R100" s="80"/>
    </row>
    <row r="101" spans="2:18">
      <c r="R101" s="80"/>
    </row>
    <row r="102" spans="2:18">
      <c r="B102" s="4" t="s">
        <v>40</v>
      </c>
      <c r="C102" s="4"/>
      <c r="R102" s="80"/>
    </row>
    <row r="103" spans="2:18">
      <c r="B103" t="s">
        <v>41</v>
      </c>
      <c r="E103" s="11">
        <v>1500</v>
      </c>
      <c r="F103" s="12">
        <f>F47</f>
        <v>1575</v>
      </c>
      <c r="G103" s="12">
        <f t="shared" ref="G103:P103" si="113">G47</f>
        <v>1653.75</v>
      </c>
      <c r="H103" s="12">
        <f t="shared" si="113"/>
        <v>1736.4375</v>
      </c>
      <c r="I103" s="12">
        <f t="shared" si="113"/>
        <v>1823.2593750000001</v>
      </c>
      <c r="J103" s="12">
        <f t="shared" si="113"/>
        <v>1914.4223437500002</v>
      </c>
      <c r="K103" s="12">
        <f t="shared" si="113"/>
        <v>2010.1434609375003</v>
      </c>
      <c r="L103" s="12">
        <f t="shared" si="113"/>
        <v>2110.6506339843754</v>
      </c>
      <c r="M103" s="12">
        <f t="shared" si="113"/>
        <v>2216.1831656835943</v>
      </c>
      <c r="N103" s="12">
        <f t="shared" si="113"/>
        <v>2326.9923239677742</v>
      </c>
      <c r="O103" s="12">
        <f t="shared" si="113"/>
        <v>2443.3419401661631</v>
      </c>
      <c r="P103" s="12">
        <f t="shared" si="113"/>
        <v>2565.5090371744714</v>
      </c>
      <c r="R103" s="80" t="s">
        <v>62</v>
      </c>
    </row>
    <row r="104" spans="2:18">
      <c r="B104" t="s">
        <v>42</v>
      </c>
      <c r="E104" s="11">
        <v>100</v>
      </c>
      <c r="F104" s="12">
        <f ca="1">F100-F103-F105-F110</f>
        <v>234.36567254240433</v>
      </c>
      <c r="G104" s="12">
        <f t="shared" ref="G104:P104" ca="1" si="114">G100-G103-G105-G110</f>
        <v>257.73038718701673</v>
      </c>
      <c r="H104" s="12">
        <f t="shared" ca="1" si="114"/>
        <v>252.57519534259191</v>
      </c>
      <c r="I104" s="12">
        <f t="shared" ca="1" si="114"/>
        <v>223.85104885347531</v>
      </c>
      <c r="J104" s="12">
        <f t="shared" ca="1" si="114"/>
        <v>175.41715899741726</v>
      </c>
      <c r="K104" s="12">
        <f t="shared" ca="1" si="114"/>
        <v>110.26765108785116</v>
      </c>
      <c r="L104" s="12">
        <f t="shared" ca="1" si="114"/>
        <v>30.710490872885885</v>
      </c>
      <c r="M104" s="12">
        <f t="shared" ca="1" si="114"/>
        <v>-61.491300886987716</v>
      </c>
      <c r="N104" s="12">
        <f t="shared" ca="1" si="114"/>
        <v>-165.00823304780587</v>
      </c>
      <c r="O104" s="12">
        <f t="shared" ca="1" si="114"/>
        <v>-278.85647729553068</v>
      </c>
      <c r="P104" s="12">
        <f t="shared" ca="1" si="114"/>
        <v>-402.32861231310864</v>
      </c>
      <c r="R104" s="80" t="s">
        <v>60</v>
      </c>
    </row>
    <row r="105" spans="2:18">
      <c r="B105" t="s">
        <v>43</v>
      </c>
      <c r="E105" s="11">
        <v>50</v>
      </c>
      <c r="F105" s="12">
        <f>E105*(1+F$57)</f>
        <v>51</v>
      </c>
      <c r="G105" s="12">
        <f t="shared" ref="G105:P105" si="115">F105*(1+G$57)</f>
        <v>52.02</v>
      </c>
      <c r="H105" s="12">
        <f t="shared" si="115"/>
        <v>53.060400000000001</v>
      </c>
      <c r="I105" s="12">
        <f t="shared" si="115"/>
        <v>54.121608000000002</v>
      </c>
      <c r="J105" s="12">
        <f t="shared" si="115"/>
        <v>55.204040160000005</v>
      </c>
      <c r="K105" s="12">
        <f t="shared" si="115"/>
        <v>56.308120963200004</v>
      </c>
      <c r="L105" s="12">
        <f t="shared" si="115"/>
        <v>57.434283382464002</v>
      </c>
      <c r="M105" s="12">
        <f t="shared" si="115"/>
        <v>58.582969050113284</v>
      </c>
      <c r="N105" s="12">
        <f t="shared" si="115"/>
        <v>59.754628431115549</v>
      </c>
      <c r="O105" s="12">
        <f t="shared" si="115"/>
        <v>60.949720999737863</v>
      </c>
      <c r="P105" s="12">
        <f t="shared" si="115"/>
        <v>62.168715419732621</v>
      </c>
      <c r="R105" s="123" t="s">
        <v>56</v>
      </c>
    </row>
    <row r="106" spans="2:18">
      <c r="B106" s="7" t="s">
        <v>44</v>
      </c>
      <c r="C106" s="7"/>
      <c r="E106" s="23">
        <f>SUM(E103:E105)</f>
        <v>1650</v>
      </c>
      <c r="F106" s="23">
        <f t="shared" ref="F106:P106" ca="1" si="116">SUM(F103:F105)</f>
        <v>1860.3656725424044</v>
      </c>
      <c r="G106" s="23">
        <f t="shared" ca="1" si="116"/>
        <v>1963.5003871870167</v>
      </c>
      <c r="H106" s="23">
        <f t="shared" ca="1" si="116"/>
        <v>2042.0730953425921</v>
      </c>
      <c r="I106" s="23">
        <f t="shared" ca="1" si="116"/>
        <v>2101.2320318534753</v>
      </c>
      <c r="J106" s="23">
        <f t="shared" ca="1" si="116"/>
        <v>2145.0435429074178</v>
      </c>
      <c r="K106" s="23">
        <f t="shared" ca="1" si="116"/>
        <v>2176.7192329885515</v>
      </c>
      <c r="L106" s="23">
        <f t="shared" ca="1" si="116"/>
        <v>2198.7954082397255</v>
      </c>
      <c r="M106" s="23">
        <f t="shared" ca="1" si="116"/>
        <v>2213.27483384672</v>
      </c>
      <c r="N106" s="23">
        <f t="shared" ca="1" si="116"/>
        <v>2221.738719351084</v>
      </c>
      <c r="O106" s="23">
        <f t="shared" ca="1" si="116"/>
        <v>2225.4351838703706</v>
      </c>
      <c r="P106" s="23">
        <f t="shared" ca="1" si="116"/>
        <v>2225.3491402810951</v>
      </c>
      <c r="R106" s="80"/>
    </row>
    <row r="107" spans="2:18">
      <c r="R107" s="80"/>
    </row>
    <row r="108" spans="2:18">
      <c r="B108" s="4" t="s">
        <v>45</v>
      </c>
      <c r="C108" s="4"/>
      <c r="R108" s="80"/>
    </row>
    <row r="109" spans="2:18">
      <c r="B109" t="s">
        <v>46</v>
      </c>
      <c r="E109" s="25">
        <v>0</v>
      </c>
      <c r="F109" s="12">
        <f>E109</f>
        <v>0</v>
      </c>
      <c r="G109" s="12">
        <f t="shared" ref="G109:P109" si="117">F109</f>
        <v>0</v>
      </c>
      <c r="H109" s="12">
        <f t="shared" si="117"/>
        <v>0</v>
      </c>
      <c r="I109" s="12">
        <f t="shared" si="117"/>
        <v>0</v>
      </c>
      <c r="J109" s="12">
        <f t="shared" si="117"/>
        <v>0</v>
      </c>
      <c r="K109" s="12">
        <f t="shared" si="117"/>
        <v>0</v>
      </c>
      <c r="L109" s="12">
        <f t="shared" si="117"/>
        <v>0</v>
      </c>
      <c r="M109" s="12">
        <f t="shared" si="117"/>
        <v>0</v>
      </c>
      <c r="N109" s="12">
        <f t="shared" si="117"/>
        <v>0</v>
      </c>
      <c r="O109" s="12">
        <f t="shared" si="117"/>
        <v>0</v>
      </c>
      <c r="P109" s="12">
        <f t="shared" si="117"/>
        <v>0</v>
      </c>
      <c r="R109" s="80"/>
    </row>
    <row r="110" spans="2:18">
      <c r="B110" t="s">
        <v>47</v>
      </c>
      <c r="E110" s="12">
        <f>E100-E106</f>
        <v>155</v>
      </c>
      <c r="F110" s="12">
        <f t="shared" ref="F110:P110" ca="1" si="118">F128</f>
        <v>168.38745245759586</v>
      </c>
      <c r="G110" s="12">
        <f t="shared" ca="1" si="118"/>
        <v>183.03333156298319</v>
      </c>
      <c r="H110" s="12">
        <f t="shared" ca="1" si="118"/>
        <v>198.53366746990778</v>
      </c>
      <c r="I110" s="12">
        <f t="shared" ca="1" si="118"/>
        <v>214.73933826839939</v>
      </c>
      <c r="J110" s="12">
        <f t="shared" ca="1" si="118"/>
        <v>231.53370753886369</v>
      </c>
      <c r="K110" s="12">
        <f t="shared" ca="1" si="118"/>
        <v>248.82586027501026</v>
      </c>
      <c r="L110" s="12">
        <f t="shared" ca="1" si="118"/>
        <v>266.54526215770801</v>
      </c>
      <c r="M110" s="12">
        <f t="shared" ca="1" si="118"/>
        <v>284.63754342085718</v>
      </c>
      <c r="N110" s="12">
        <f t="shared" ca="1" si="118"/>
        <v>303.06117129697913</v>
      </c>
      <c r="O110" s="12">
        <f t="shared" ca="1" si="118"/>
        <v>321.78482460040942</v>
      </c>
      <c r="P110" s="12">
        <f t="shared" ca="1" si="118"/>
        <v>340.78532316680702</v>
      </c>
      <c r="R110" s="123" t="s">
        <v>57</v>
      </c>
    </row>
    <row r="111" spans="2:18">
      <c r="B111" s="7" t="s">
        <v>48</v>
      </c>
      <c r="C111" s="7"/>
      <c r="E111" s="23">
        <f>SUM(E109:E110)</f>
        <v>155</v>
      </c>
      <c r="F111" s="23">
        <f t="shared" ref="F111:P111" ca="1" si="119">SUM(F109:F110)</f>
        <v>168.38745245759586</v>
      </c>
      <c r="G111" s="23">
        <f t="shared" ca="1" si="119"/>
        <v>183.03333156298319</v>
      </c>
      <c r="H111" s="23">
        <f t="shared" ca="1" si="119"/>
        <v>198.53366746990778</v>
      </c>
      <c r="I111" s="23">
        <f t="shared" ca="1" si="119"/>
        <v>214.73933826839939</v>
      </c>
      <c r="J111" s="23">
        <f t="shared" ca="1" si="119"/>
        <v>231.53370753886369</v>
      </c>
      <c r="K111" s="23">
        <f t="shared" ca="1" si="119"/>
        <v>248.82586027501026</v>
      </c>
      <c r="L111" s="23">
        <f t="shared" ca="1" si="119"/>
        <v>266.54526215770801</v>
      </c>
      <c r="M111" s="23">
        <f t="shared" ca="1" si="119"/>
        <v>284.63754342085718</v>
      </c>
      <c r="N111" s="23">
        <f t="shared" ca="1" si="119"/>
        <v>303.06117129697913</v>
      </c>
      <c r="O111" s="23">
        <f t="shared" ca="1" si="119"/>
        <v>321.78482460040942</v>
      </c>
      <c r="P111" s="23">
        <f t="shared" ca="1" si="119"/>
        <v>340.78532316680702</v>
      </c>
      <c r="R111" s="80"/>
    </row>
    <row r="112" spans="2:18">
      <c r="B112" s="7" t="s">
        <v>139</v>
      </c>
      <c r="C112" s="7"/>
      <c r="E112" s="23">
        <f>E106+E111</f>
        <v>1805</v>
      </c>
      <c r="F112" s="23">
        <f t="shared" ref="F112:P112" ca="1" si="120">F106+F111</f>
        <v>2028.7531250000002</v>
      </c>
      <c r="G112" s="23">
        <f t="shared" ca="1" si="120"/>
        <v>2146.5337187499999</v>
      </c>
      <c r="H112" s="23">
        <f t="shared" ca="1" si="120"/>
        <v>2240.6067628124997</v>
      </c>
      <c r="I112" s="23">
        <f t="shared" ca="1" si="120"/>
        <v>2315.9713701218748</v>
      </c>
      <c r="J112" s="23">
        <f t="shared" ca="1" si="120"/>
        <v>2376.5772504462816</v>
      </c>
      <c r="K112" s="23">
        <f t="shared" ca="1" si="120"/>
        <v>2425.5450932635617</v>
      </c>
      <c r="L112" s="23">
        <f t="shared" ca="1" si="120"/>
        <v>2465.3406703974333</v>
      </c>
      <c r="M112" s="23">
        <f t="shared" ca="1" si="120"/>
        <v>2497.9123772675771</v>
      </c>
      <c r="N112" s="23">
        <f t="shared" ca="1" si="120"/>
        <v>2524.799890648063</v>
      </c>
      <c r="O112" s="23">
        <f t="shared" ca="1" si="120"/>
        <v>2547.2200084707802</v>
      </c>
      <c r="P112" s="23">
        <f t="shared" ca="1" si="120"/>
        <v>2566.1344634479019</v>
      </c>
      <c r="R112" s="80"/>
    </row>
    <row r="113" spans="1:18">
      <c r="B113" t="s">
        <v>49</v>
      </c>
      <c r="E113" s="12">
        <f>E112-E100</f>
        <v>0</v>
      </c>
      <c r="F113" s="12">
        <f t="shared" ref="F113:P113" ca="1" si="121">F112-F100</f>
        <v>0</v>
      </c>
      <c r="G113" s="12">
        <f t="shared" ca="1" si="121"/>
        <v>0</v>
      </c>
      <c r="H113" s="12">
        <f t="shared" ca="1" si="121"/>
        <v>0</v>
      </c>
      <c r="I113" s="12">
        <f t="shared" ca="1" si="121"/>
        <v>0</v>
      </c>
      <c r="J113" s="12">
        <f t="shared" ca="1" si="121"/>
        <v>0</v>
      </c>
      <c r="K113" s="12">
        <f t="shared" ca="1" si="121"/>
        <v>0</v>
      </c>
      <c r="L113" s="12">
        <f t="shared" ca="1" si="121"/>
        <v>0</v>
      </c>
      <c r="M113" s="12">
        <f t="shared" ca="1" si="121"/>
        <v>0</v>
      </c>
      <c r="N113" s="12">
        <f t="shared" ca="1" si="121"/>
        <v>0</v>
      </c>
      <c r="O113" s="12">
        <f t="shared" ca="1" si="121"/>
        <v>0</v>
      </c>
      <c r="P113" s="12">
        <f t="shared" ca="1" si="121"/>
        <v>0</v>
      </c>
      <c r="R113" s="80"/>
    </row>
    <row r="114" spans="1:18">
      <c r="R114" s="80"/>
    </row>
    <row r="115" spans="1:18">
      <c r="B115" s="4" t="s">
        <v>118</v>
      </c>
      <c r="C115" s="4"/>
      <c r="R115" s="80"/>
    </row>
    <row r="116" spans="1:18">
      <c r="A116" s="3" t="s">
        <v>1</v>
      </c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8" spans="1:18">
      <c r="E118" s="5">
        <f>E$3</f>
        <v>41274</v>
      </c>
      <c r="F118" s="5">
        <f>F$3</f>
        <v>41639</v>
      </c>
      <c r="G118" s="5">
        <f t="shared" ref="G118:P118" si="122">G$3</f>
        <v>42004</v>
      </c>
      <c r="H118" s="5">
        <f t="shared" si="122"/>
        <v>42369</v>
      </c>
      <c r="I118" s="5">
        <f t="shared" si="122"/>
        <v>42735</v>
      </c>
      <c r="J118" s="5">
        <f t="shared" si="122"/>
        <v>43100</v>
      </c>
      <c r="K118" s="5">
        <f t="shared" si="122"/>
        <v>43465</v>
      </c>
      <c r="L118" s="5">
        <f t="shared" si="122"/>
        <v>43830</v>
      </c>
      <c r="M118" s="5">
        <f t="shared" si="122"/>
        <v>44196</v>
      </c>
      <c r="N118" s="5">
        <f t="shared" si="122"/>
        <v>44561</v>
      </c>
      <c r="O118" s="5">
        <f t="shared" si="122"/>
        <v>44926</v>
      </c>
      <c r="P118" s="5">
        <f t="shared" si="122"/>
        <v>45291</v>
      </c>
    </row>
    <row r="119" spans="1:18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1:18">
      <c r="B120" s="20" t="s">
        <v>68</v>
      </c>
      <c r="C120" s="20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</row>
    <row r="121" spans="1:18">
      <c r="B121" s="4" t="s">
        <v>12</v>
      </c>
      <c r="C121" s="4"/>
      <c r="F121" s="14"/>
      <c r="G121" s="13"/>
      <c r="H121" s="13"/>
      <c r="I121" s="13"/>
      <c r="J121" s="13"/>
      <c r="K121" s="13"/>
      <c r="L121" s="13"/>
      <c r="M121" s="13"/>
      <c r="N121" s="13"/>
      <c r="O121" s="13"/>
      <c r="P121" s="13"/>
    </row>
    <row r="122" spans="1:18">
      <c r="B122" t="s">
        <v>4</v>
      </c>
      <c r="F122" s="22">
        <f>E110</f>
        <v>155</v>
      </c>
      <c r="G122" s="12">
        <f ca="1">F128</f>
        <v>168.38745245759586</v>
      </c>
      <c r="H122" s="12">
        <f t="shared" ref="H122:P122" ca="1" si="123">G128</f>
        <v>183.03333156298319</v>
      </c>
      <c r="I122" s="12">
        <f t="shared" ca="1" si="123"/>
        <v>198.53366746990778</v>
      </c>
      <c r="J122" s="12">
        <f t="shared" ca="1" si="123"/>
        <v>214.73933826839939</v>
      </c>
      <c r="K122" s="12">
        <f t="shared" ca="1" si="123"/>
        <v>231.53370753886369</v>
      </c>
      <c r="L122" s="12">
        <f t="shared" ca="1" si="123"/>
        <v>248.82586027501026</v>
      </c>
      <c r="M122" s="12">
        <f t="shared" ca="1" si="123"/>
        <v>266.54526215770801</v>
      </c>
      <c r="N122" s="12">
        <f t="shared" ca="1" si="123"/>
        <v>284.63754342085718</v>
      </c>
      <c r="O122" s="12">
        <f t="shared" ca="1" si="123"/>
        <v>303.06117129697913</v>
      </c>
      <c r="P122" s="12">
        <f t="shared" ca="1" si="123"/>
        <v>321.78482460040942</v>
      </c>
    </row>
    <row r="123" spans="1:18">
      <c r="B123" t="s">
        <v>26</v>
      </c>
      <c r="F123" s="22">
        <f t="shared" ref="F123:P123" ca="1" si="124">F86</f>
        <v>20.596080703993593</v>
      </c>
      <c r="G123" s="22">
        <f t="shared" ca="1" si="124"/>
        <v>22.532121700595937</v>
      </c>
      <c r="H123" s="22">
        <f t="shared" ca="1" si="124"/>
        <v>23.846670626037831</v>
      </c>
      <c r="I123" s="22">
        <f t="shared" ca="1" si="124"/>
        <v>24.931801228448659</v>
      </c>
      <c r="J123" s="22">
        <f t="shared" ca="1" si="124"/>
        <v>25.837491185329686</v>
      </c>
      <c r="K123" s="22">
        <f t="shared" ca="1" si="124"/>
        <v>26.603311901763931</v>
      </c>
      <c r="L123" s="22">
        <f t="shared" ca="1" si="124"/>
        <v>27.260618281073427</v>
      </c>
      <c r="M123" s="22">
        <f t="shared" ca="1" si="124"/>
        <v>27.83427886638335</v>
      </c>
      <c r="N123" s="22">
        <f t="shared" ca="1" si="124"/>
        <v>28.344042886341455</v>
      </c>
      <c r="O123" s="22">
        <f t="shared" ca="1" si="124"/>
        <v>28.80562046681586</v>
      </c>
      <c r="P123" s="22">
        <f t="shared" ca="1" si="124"/>
        <v>29.23153625599636</v>
      </c>
    </row>
    <row r="124" spans="1:18">
      <c r="B124" t="s">
        <v>69</v>
      </c>
      <c r="F124" s="22">
        <f t="shared" ref="F124:P124" ca="1" si="125">-F123*F129</f>
        <v>-7.2086282463977573</v>
      </c>
      <c r="G124" s="22">
        <f t="shared" ca="1" si="125"/>
        <v>-7.8862425952085777</v>
      </c>
      <c r="H124" s="22">
        <f t="shared" ca="1" si="125"/>
        <v>-8.3463347191132407</v>
      </c>
      <c r="I124" s="22">
        <f t="shared" ca="1" si="125"/>
        <v>-8.7261304299570295</v>
      </c>
      <c r="J124" s="22">
        <f t="shared" ca="1" si="125"/>
        <v>-9.0431219148653899</v>
      </c>
      <c r="K124" s="22">
        <f t="shared" ca="1" si="125"/>
        <v>-9.3111591656173758</v>
      </c>
      <c r="L124" s="22">
        <f t="shared" ca="1" si="125"/>
        <v>-9.541216398375699</v>
      </c>
      <c r="M124" s="22">
        <f t="shared" ca="1" si="125"/>
        <v>-9.7419976032341715</v>
      </c>
      <c r="N124" s="22">
        <f t="shared" ca="1" si="125"/>
        <v>-9.920415010219509</v>
      </c>
      <c r="O124" s="22">
        <f t="shared" ca="1" si="125"/>
        <v>-10.081967163385551</v>
      </c>
      <c r="P124" s="22">
        <f t="shared" ca="1" si="125"/>
        <v>-10.231037689598725</v>
      </c>
    </row>
    <row r="125" spans="1:18">
      <c r="B125" t="s">
        <v>70</v>
      </c>
      <c r="F125" s="22">
        <v>0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</row>
    <row r="126" spans="1:18">
      <c r="B126" t="s">
        <v>71</v>
      </c>
      <c r="F126" s="22">
        <v>0</v>
      </c>
      <c r="G126" s="22">
        <v>0</v>
      </c>
      <c r="H126" s="22">
        <v>0</v>
      </c>
      <c r="I126" s="22">
        <v>0</v>
      </c>
      <c r="J126" s="22">
        <v>0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</row>
    <row r="127" spans="1:18">
      <c r="B127" t="s">
        <v>72</v>
      </c>
      <c r="F127" s="22">
        <v>0</v>
      </c>
      <c r="G127" s="22">
        <v>0</v>
      </c>
      <c r="H127" s="22">
        <v>0</v>
      </c>
      <c r="I127" s="22">
        <v>0</v>
      </c>
      <c r="J127" s="22">
        <v>0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</row>
    <row r="128" spans="1:18">
      <c r="B128" s="7" t="s">
        <v>7</v>
      </c>
      <c r="C128" s="7"/>
      <c r="F128" s="23">
        <f ca="1">SUM(F122:F127)</f>
        <v>168.38745245759586</v>
      </c>
      <c r="G128" s="23">
        <f t="shared" ref="G128:P128" ca="1" si="126">SUM(G122:G127)</f>
        <v>183.03333156298319</v>
      </c>
      <c r="H128" s="23">
        <f t="shared" ca="1" si="126"/>
        <v>198.53366746990778</v>
      </c>
      <c r="I128" s="23">
        <f t="shared" ca="1" si="126"/>
        <v>214.73933826839939</v>
      </c>
      <c r="J128" s="23">
        <f t="shared" ca="1" si="126"/>
        <v>231.53370753886369</v>
      </c>
      <c r="K128" s="23">
        <f t="shared" ca="1" si="126"/>
        <v>248.82586027501026</v>
      </c>
      <c r="L128" s="23">
        <f t="shared" ca="1" si="126"/>
        <v>266.54526215770801</v>
      </c>
      <c r="M128" s="23">
        <f t="shared" ca="1" si="126"/>
        <v>284.63754342085718</v>
      </c>
      <c r="N128" s="23">
        <f t="shared" ca="1" si="126"/>
        <v>303.06117129697913</v>
      </c>
      <c r="O128" s="23">
        <f t="shared" ca="1" si="126"/>
        <v>321.78482460040942</v>
      </c>
      <c r="P128" s="23">
        <f t="shared" ca="1" si="126"/>
        <v>340.78532316680702</v>
      </c>
    </row>
    <row r="129" spans="2:18">
      <c r="B129" t="s">
        <v>138</v>
      </c>
      <c r="F129" s="16">
        <v>0.35</v>
      </c>
      <c r="G129" s="17">
        <f>F129</f>
        <v>0.35</v>
      </c>
      <c r="H129" s="17">
        <f t="shared" ref="H129:P129" si="127">G129</f>
        <v>0.35</v>
      </c>
      <c r="I129" s="17">
        <f t="shared" si="127"/>
        <v>0.35</v>
      </c>
      <c r="J129" s="17">
        <f t="shared" si="127"/>
        <v>0.35</v>
      </c>
      <c r="K129" s="17">
        <f t="shared" si="127"/>
        <v>0.35</v>
      </c>
      <c r="L129" s="17">
        <f t="shared" si="127"/>
        <v>0.35</v>
      </c>
      <c r="M129" s="17">
        <f t="shared" si="127"/>
        <v>0.35</v>
      </c>
      <c r="N129" s="17">
        <f t="shared" si="127"/>
        <v>0.35</v>
      </c>
      <c r="O129" s="17">
        <f t="shared" si="127"/>
        <v>0.35</v>
      </c>
      <c r="P129" s="17">
        <f t="shared" si="127"/>
        <v>0.35</v>
      </c>
    </row>
    <row r="130" spans="2:18"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spans="2:18">
      <c r="B131" s="20" t="s">
        <v>97</v>
      </c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</row>
    <row r="132" spans="2:18">
      <c r="B132" t="s">
        <v>98</v>
      </c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2:18">
      <c r="B133" s="32">
        <v>0</v>
      </c>
      <c r="E133" s="12">
        <f t="shared" ref="E133:P133" si="128">E90*$B133</f>
        <v>0</v>
      </c>
      <c r="F133" s="12">
        <f t="shared" si="128"/>
        <v>0</v>
      </c>
      <c r="G133" s="12">
        <f t="shared" si="128"/>
        <v>0</v>
      </c>
      <c r="H133" s="12">
        <f t="shared" si="128"/>
        <v>0</v>
      </c>
      <c r="I133" s="12">
        <f t="shared" si="128"/>
        <v>0</v>
      </c>
      <c r="J133" s="12">
        <f t="shared" si="128"/>
        <v>0</v>
      </c>
      <c r="K133" s="12">
        <f t="shared" si="128"/>
        <v>0</v>
      </c>
      <c r="L133" s="12">
        <f t="shared" si="128"/>
        <v>0</v>
      </c>
      <c r="M133" s="12">
        <f t="shared" si="128"/>
        <v>0</v>
      </c>
      <c r="N133" s="12">
        <f t="shared" si="128"/>
        <v>0</v>
      </c>
      <c r="O133" s="12">
        <f t="shared" si="128"/>
        <v>0</v>
      </c>
      <c r="P133" s="12">
        <f t="shared" si="128"/>
        <v>0</v>
      </c>
    </row>
    <row r="134" spans="2:18">
      <c r="B134" s="32">
        <v>0.2</v>
      </c>
      <c r="E134" s="12">
        <f t="shared" ref="E134:P134" si="129">E91*$B134</f>
        <v>60</v>
      </c>
      <c r="F134" s="12">
        <f t="shared" si="129"/>
        <v>81.150125000000003</v>
      </c>
      <c r="G134" s="12">
        <f t="shared" si="129"/>
        <v>85.861348750000005</v>
      </c>
      <c r="H134" s="12">
        <f t="shared" si="129"/>
        <v>89.624270512500004</v>
      </c>
      <c r="I134" s="12">
        <f t="shared" si="129"/>
        <v>92.638854804874995</v>
      </c>
      <c r="J134" s="12">
        <f t="shared" si="129"/>
        <v>95.063090017851238</v>
      </c>
      <c r="K134" s="12">
        <f t="shared" si="129"/>
        <v>97.021803730542473</v>
      </c>
      <c r="L134" s="12">
        <f t="shared" si="129"/>
        <v>98.613626815897334</v>
      </c>
      <c r="M134" s="12">
        <f t="shared" si="129"/>
        <v>99.916495090703094</v>
      </c>
      <c r="N134" s="12">
        <f t="shared" si="129"/>
        <v>100.99199562592253</v>
      </c>
      <c r="O134" s="12">
        <f t="shared" si="129"/>
        <v>101.88880033883117</v>
      </c>
      <c r="P134" s="12">
        <f t="shared" si="129"/>
        <v>102.6453785379161</v>
      </c>
    </row>
    <row r="135" spans="2:18">
      <c r="B135" s="32">
        <v>0.5</v>
      </c>
      <c r="E135" s="12">
        <v>0</v>
      </c>
      <c r="F135" s="12">
        <v>0</v>
      </c>
      <c r="G135" s="12">
        <v>0</v>
      </c>
      <c r="H135" s="12">
        <v>0</v>
      </c>
      <c r="I135" s="12">
        <v>0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R135" s="80"/>
    </row>
    <row r="136" spans="2:18">
      <c r="B136" s="32">
        <v>0.85</v>
      </c>
      <c r="E136" s="12">
        <f t="shared" ref="E136:P136" si="130">E92*$B136</f>
        <v>1147.5</v>
      </c>
      <c r="F136" s="12">
        <f t="shared" si="130"/>
        <v>1246.5249999999999</v>
      </c>
      <c r="G136" s="12">
        <f t="shared" si="130"/>
        <v>1324.7547500000001</v>
      </c>
      <c r="H136" s="12">
        <f t="shared" si="130"/>
        <v>1386.5562524999998</v>
      </c>
      <c r="I136" s="12">
        <f t="shared" si="130"/>
        <v>1435.3794394749998</v>
      </c>
      <c r="J136" s="12">
        <f t="shared" si="130"/>
        <v>1473.9497571852496</v>
      </c>
      <c r="K136" s="12">
        <f t="shared" si="130"/>
        <v>1504.4203081763469</v>
      </c>
      <c r="L136" s="12">
        <f t="shared" si="130"/>
        <v>1528.4920434593141</v>
      </c>
      <c r="M136" s="12">
        <f t="shared" si="130"/>
        <v>1547.5087143328583</v>
      </c>
      <c r="N136" s="12">
        <f t="shared" si="130"/>
        <v>1562.5318843229581</v>
      </c>
      <c r="O136" s="12">
        <f t="shared" si="130"/>
        <v>1574.400188615137</v>
      </c>
      <c r="P136" s="12">
        <f t="shared" si="130"/>
        <v>1583.7761490059586</v>
      </c>
      <c r="R136" s="80" t="s">
        <v>150</v>
      </c>
    </row>
    <row r="137" spans="2:18">
      <c r="B137" s="32">
        <v>1</v>
      </c>
      <c r="E137" s="12">
        <f t="shared" ref="E137:P137" si="131">SUM(E95:E99)*$B137</f>
        <v>100</v>
      </c>
      <c r="F137" s="12">
        <f t="shared" si="131"/>
        <v>102</v>
      </c>
      <c r="G137" s="12">
        <f t="shared" si="131"/>
        <v>104.04</v>
      </c>
      <c r="H137" s="12">
        <f t="shared" si="131"/>
        <v>106.1208</v>
      </c>
      <c r="I137" s="12">
        <f t="shared" si="131"/>
        <v>108.243216</v>
      </c>
      <c r="J137" s="12">
        <f t="shared" si="131"/>
        <v>110.40808032000001</v>
      </c>
      <c r="K137" s="12">
        <f t="shared" si="131"/>
        <v>112.61624192640001</v>
      </c>
      <c r="L137" s="12">
        <f t="shared" si="131"/>
        <v>114.868566764928</v>
      </c>
      <c r="M137" s="12">
        <f t="shared" si="131"/>
        <v>117.16593810022657</v>
      </c>
      <c r="N137" s="12">
        <f t="shared" si="131"/>
        <v>119.5092568622311</v>
      </c>
      <c r="O137" s="12">
        <f t="shared" si="131"/>
        <v>121.89944199947573</v>
      </c>
      <c r="P137" s="12">
        <f t="shared" si="131"/>
        <v>124.33743083946524</v>
      </c>
      <c r="R137" s="80"/>
    </row>
    <row r="138" spans="2:18">
      <c r="B138" s="31" t="s">
        <v>99</v>
      </c>
      <c r="E138" s="23">
        <f>SUM(E133:E137)</f>
        <v>1307.5</v>
      </c>
      <c r="F138" s="23">
        <f t="shared" ref="F138:P138" si="132">SUM(F133:F137)</f>
        <v>1429.6751249999998</v>
      </c>
      <c r="G138" s="23">
        <f t="shared" si="132"/>
        <v>1514.65609875</v>
      </c>
      <c r="H138" s="23">
        <f t="shared" si="132"/>
        <v>1582.3013230124998</v>
      </c>
      <c r="I138" s="23">
        <f t="shared" si="132"/>
        <v>1636.2615102798748</v>
      </c>
      <c r="J138" s="23">
        <f t="shared" si="132"/>
        <v>1679.4209275231008</v>
      </c>
      <c r="K138" s="23">
        <f t="shared" si="132"/>
        <v>1714.0583538332894</v>
      </c>
      <c r="L138" s="23">
        <f t="shared" si="132"/>
        <v>1741.9742370401395</v>
      </c>
      <c r="M138" s="23">
        <f t="shared" si="132"/>
        <v>1764.5911475237881</v>
      </c>
      <c r="N138" s="23">
        <f t="shared" si="132"/>
        <v>1783.0331368111117</v>
      </c>
      <c r="O138" s="23">
        <f t="shared" si="132"/>
        <v>1798.1884309534441</v>
      </c>
      <c r="P138" s="23">
        <f t="shared" si="132"/>
        <v>1810.7589583833399</v>
      </c>
      <c r="R138" s="80"/>
    </row>
    <row r="139" spans="2:18">
      <c r="B139" t="s">
        <v>108</v>
      </c>
      <c r="E139" s="12">
        <f>E100-E95-E96</f>
        <v>1805</v>
      </c>
      <c r="F139" s="12">
        <f t="shared" ref="F139:P139" si="133">F100-F95-F96</f>
        <v>2028.7531250000002</v>
      </c>
      <c r="G139" s="12">
        <f t="shared" si="133"/>
        <v>2146.5337187499999</v>
      </c>
      <c r="H139" s="12">
        <f t="shared" si="133"/>
        <v>2240.6067628124997</v>
      </c>
      <c r="I139" s="12">
        <f t="shared" si="133"/>
        <v>2315.9713701218748</v>
      </c>
      <c r="J139" s="12">
        <f t="shared" si="133"/>
        <v>2376.5772504462811</v>
      </c>
      <c r="K139" s="12">
        <f t="shared" si="133"/>
        <v>2425.5450932635617</v>
      </c>
      <c r="L139" s="12">
        <f t="shared" si="133"/>
        <v>2465.3406703974333</v>
      </c>
      <c r="M139" s="12">
        <f t="shared" si="133"/>
        <v>2497.9123772675771</v>
      </c>
      <c r="N139" s="12">
        <f t="shared" si="133"/>
        <v>2524.799890648063</v>
      </c>
      <c r="O139" s="12">
        <f t="shared" si="133"/>
        <v>2547.2200084707797</v>
      </c>
      <c r="P139" s="12">
        <f t="shared" si="133"/>
        <v>2566.1344634479024</v>
      </c>
      <c r="R139" s="80"/>
    </row>
    <row r="140" spans="2:18">
      <c r="B140" s="30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R140" s="80"/>
    </row>
    <row r="141" spans="2:18">
      <c r="B141" t="s">
        <v>95</v>
      </c>
      <c r="E141" s="12">
        <f>E110-E95-E96</f>
        <v>155</v>
      </c>
      <c r="F141" s="12">
        <f t="shared" ref="F141:P141" ca="1" si="134">F110-F95-F96</f>
        <v>168.38745245759586</v>
      </c>
      <c r="G141" s="12">
        <f t="shared" ca="1" si="134"/>
        <v>183.03333156298319</v>
      </c>
      <c r="H141" s="12">
        <f t="shared" ca="1" si="134"/>
        <v>198.53366746990778</v>
      </c>
      <c r="I141" s="12">
        <f t="shared" ca="1" si="134"/>
        <v>214.73933826839939</v>
      </c>
      <c r="J141" s="12">
        <f t="shared" ca="1" si="134"/>
        <v>231.53370753886369</v>
      </c>
      <c r="K141" s="12">
        <f t="shared" ca="1" si="134"/>
        <v>248.82586027501026</v>
      </c>
      <c r="L141" s="12">
        <f t="shared" ca="1" si="134"/>
        <v>266.54526215770801</v>
      </c>
      <c r="M141" s="12">
        <f t="shared" ca="1" si="134"/>
        <v>284.63754342085718</v>
      </c>
      <c r="N141" s="12">
        <f t="shared" ca="1" si="134"/>
        <v>303.06117129697913</v>
      </c>
      <c r="O141" s="12">
        <f t="shared" ca="1" si="134"/>
        <v>321.78482460040942</v>
      </c>
      <c r="P141" s="12">
        <f t="shared" ca="1" si="134"/>
        <v>340.78532316680702</v>
      </c>
      <c r="R141" s="80" t="s">
        <v>101</v>
      </c>
    </row>
    <row r="142" spans="2:18">
      <c r="B142" t="s">
        <v>94</v>
      </c>
      <c r="E142" s="12">
        <f>E111-E95-E96</f>
        <v>155</v>
      </c>
      <c r="F142" s="12">
        <f t="shared" ref="F142:P142" ca="1" si="135">F111-F95-F96</f>
        <v>168.38745245759586</v>
      </c>
      <c r="G142" s="12">
        <f t="shared" ca="1" si="135"/>
        <v>183.03333156298319</v>
      </c>
      <c r="H142" s="12">
        <f t="shared" ca="1" si="135"/>
        <v>198.53366746990778</v>
      </c>
      <c r="I142" s="12">
        <f t="shared" ca="1" si="135"/>
        <v>214.73933826839939</v>
      </c>
      <c r="J142" s="12">
        <f t="shared" ca="1" si="135"/>
        <v>231.53370753886369</v>
      </c>
      <c r="K142" s="12">
        <f t="shared" ca="1" si="135"/>
        <v>248.82586027501026</v>
      </c>
      <c r="L142" s="12">
        <f t="shared" ca="1" si="135"/>
        <v>266.54526215770801</v>
      </c>
      <c r="M142" s="12">
        <f t="shared" ca="1" si="135"/>
        <v>284.63754342085718</v>
      </c>
      <c r="N142" s="12">
        <f t="shared" ca="1" si="135"/>
        <v>303.06117129697913</v>
      </c>
      <c r="O142" s="12">
        <f t="shared" ca="1" si="135"/>
        <v>321.78482460040942</v>
      </c>
      <c r="P142" s="12">
        <f t="shared" ca="1" si="135"/>
        <v>340.78532316680702</v>
      </c>
      <c r="R142" s="80" t="s">
        <v>102</v>
      </c>
    </row>
    <row r="143" spans="2:18">
      <c r="B143" t="s">
        <v>96</v>
      </c>
      <c r="E143" s="12">
        <f t="shared" ref="E143:P143" si="136">E142+MAX(E93,1.25%*E138)</f>
        <v>175</v>
      </c>
      <c r="F143" s="12">
        <f t="shared" ca="1" si="136"/>
        <v>190.38495245759586</v>
      </c>
      <c r="G143" s="12">
        <f t="shared" ca="1" si="136"/>
        <v>206.4113565629832</v>
      </c>
      <c r="H143" s="12">
        <f t="shared" ca="1" si="136"/>
        <v>223.00230721990778</v>
      </c>
      <c r="I143" s="12">
        <f t="shared" ca="1" si="136"/>
        <v>240.06956367089938</v>
      </c>
      <c r="J143" s="12">
        <f t="shared" ca="1" si="136"/>
        <v>257.54458560683867</v>
      </c>
      <c r="K143" s="12">
        <f t="shared" ca="1" si="136"/>
        <v>275.37445394871048</v>
      </c>
      <c r="L143" s="12">
        <f t="shared" ca="1" si="136"/>
        <v>293.51865115993121</v>
      </c>
      <c r="M143" s="12">
        <f t="shared" ca="1" si="136"/>
        <v>311.94652073261352</v>
      </c>
      <c r="N143" s="12">
        <f t="shared" ca="1" si="136"/>
        <v>330.63526337326664</v>
      </c>
      <c r="O143" s="12">
        <f t="shared" ca="1" si="136"/>
        <v>349.56835734067653</v>
      </c>
      <c r="P143" s="12">
        <f t="shared" ca="1" si="136"/>
        <v>368.73431403161806</v>
      </c>
      <c r="R143" s="80" t="s">
        <v>100</v>
      </c>
    </row>
    <row r="144" spans="2:18">
      <c r="B144" t="s">
        <v>76</v>
      </c>
      <c r="E144" s="12">
        <f t="shared" ref="E144:P144" si="137">E110-E95-E96</f>
        <v>155</v>
      </c>
      <c r="F144" s="12">
        <f t="shared" ca="1" si="137"/>
        <v>168.38745245759586</v>
      </c>
      <c r="G144" s="12">
        <f t="shared" ca="1" si="137"/>
        <v>183.03333156298319</v>
      </c>
      <c r="H144" s="12">
        <f t="shared" ca="1" si="137"/>
        <v>198.53366746990778</v>
      </c>
      <c r="I144" s="12">
        <f t="shared" ca="1" si="137"/>
        <v>214.73933826839939</v>
      </c>
      <c r="J144" s="12">
        <f t="shared" ca="1" si="137"/>
        <v>231.53370753886369</v>
      </c>
      <c r="K144" s="12">
        <f t="shared" ca="1" si="137"/>
        <v>248.82586027501026</v>
      </c>
      <c r="L144" s="12">
        <f t="shared" ca="1" si="137"/>
        <v>266.54526215770801</v>
      </c>
      <c r="M144" s="12">
        <f t="shared" ca="1" si="137"/>
        <v>284.63754342085718</v>
      </c>
      <c r="N144" s="12">
        <f t="shared" ca="1" si="137"/>
        <v>303.06117129697913</v>
      </c>
      <c r="O144" s="12">
        <f t="shared" ca="1" si="137"/>
        <v>321.78482460040942</v>
      </c>
      <c r="P144" s="12">
        <f t="shared" ca="1" si="137"/>
        <v>340.78532316680702</v>
      </c>
      <c r="R144" s="80"/>
    </row>
    <row r="145" spans="2:18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R145" s="80"/>
    </row>
    <row r="146" spans="2:18">
      <c r="B146" t="s">
        <v>103</v>
      </c>
      <c r="E146" s="19">
        <f>E141/E138</f>
        <v>0.11854684512428298</v>
      </c>
      <c r="F146" s="19">
        <f t="shared" ref="F146:P146" ca="1" si="138">F141/F138</f>
        <v>0.11778022119367565</v>
      </c>
      <c r="G146" s="19">
        <f t="shared" ca="1" si="138"/>
        <v>0.12084151096346893</v>
      </c>
      <c r="H146" s="19">
        <f t="shared" ca="1" si="138"/>
        <v>0.12547146651683574</v>
      </c>
      <c r="I146" s="19">
        <f t="shared" ca="1" si="138"/>
        <v>0.13123778620916729</v>
      </c>
      <c r="J146" s="19">
        <f t="shared" ca="1" si="138"/>
        <v>0.13786520326404525</v>
      </c>
      <c r="K146" s="19">
        <f t="shared" ca="1" si="138"/>
        <v>0.14516767163646474</v>
      </c>
      <c r="L146" s="19">
        <f t="shared" ca="1" si="138"/>
        <v>0.15301332045564928</v>
      </c>
      <c r="M146" s="19">
        <f t="shared" ca="1" si="138"/>
        <v>0.16130509541560537</v>
      </c>
      <c r="N146" s="19">
        <f t="shared" ca="1" si="138"/>
        <v>0.16996945544096434</v>
      </c>
      <c r="O146" s="19">
        <f t="shared" ca="1" si="138"/>
        <v>0.17894944659931503</v>
      </c>
      <c r="P146" s="19">
        <f t="shared" ca="1" si="138"/>
        <v>0.18820026905793297</v>
      </c>
      <c r="R146" s="80"/>
    </row>
    <row r="147" spans="2:18">
      <c r="B147" t="s">
        <v>104</v>
      </c>
      <c r="E147" s="19">
        <f>E142/E138</f>
        <v>0.11854684512428298</v>
      </c>
      <c r="F147" s="19">
        <f t="shared" ref="F147:P147" ca="1" si="139">F142/F138</f>
        <v>0.11778022119367565</v>
      </c>
      <c r="G147" s="19">
        <f t="shared" ca="1" si="139"/>
        <v>0.12084151096346893</v>
      </c>
      <c r="H147" s="19">
        <f t="shared" ca="1" si="139"/>
        <v>0.12547146651683574</v>
      </c>
      <c r="I147" s="19">
        <f t="shared" ca="1" si="139"/>
        <v>0.13123778620916729</v>
      </c>
      <c r="J147" s="19">
        <f t="shared" ca="1" si="139"/>
        <v>0.13786520326404525</v>
      </c>
      <c r="K147" s="19">
        <f t="shared" ca="1" si="139"/>
        <v>0.14516767163646474</v>
      </c>
      <c r="L147" s="19">
        <f t="shared" ca="1" si="139"/>
        <v>0.15301332045564928</v>
      </c>
      <c r="M147" s="19">
        <f t="shared" ca="1" si="139"/>
        <v>0.16130509541560537</v>
      </c>
      <c r="N147" s="19">
        <f t="shared" ca="1" si="139"/>
        <v>0.16996945544096434</v>
      </c>
      <c r="O147" s="19">
        <f t="shared" ca="1" si="139"/>
        <v>0.17894944659931503</v>
      </c>
      <c r="P147" s="19">
        <f t="shared" ca="1" si="139"/>
        <v>0.18820026905793297</v>
      </c>
      <c r="R147" s="80"/>
    </row>
    <row r="148" spans="2:18">
      <c r="B148" t="s">
        <v>105</v>
      </c>
      <c r="E148" s="19">
        <f>E142/E139</f>
        <v>8.5872576177285317E-2</v>
      </c>
      <c r="F148" s="19">
        <f t="shared" ref="F148:P148" ca="1" si="140">F142/F139</f>
        <v>8.3000464858234466E-2</v>
      </c>
      <c r="G148" s="19">
        <f t="shared" ca="1" si="140"/>
        <v>8.526925524821001E-2</v>
      </c>
      <c r="H148" s="19">
        <f t="shared" ca="1" si="140"/>
        <v>8.8607099989602964E-2</v>
      </c>
      <c r="I148" s="19">
        <f t="shared" ca="1" si="140"/>
        <v>9.2721067729390386E-2</v>
      </c>
      <c r="J148" s="19">
        <f t="shared" ca="1" si="140"/>
        <v>9.7423177595167831E-2</v>
      </c>
      <c r="K148" s="19">
        <f t="shared" ca="1" si="140"/>
        <v>0.10258554292231938</v>
      </c>
      <c r="L148" s="19">
        <f t="shared" ca="1" si="140"/>
        <v>0.10811701009854298</v>
      </c>
      <c r="M148" s="19">
        <f t="shared" ca="1" si="140"/>
        <v>0.11395017135557703</v>
      </c>
      <c r="N148" s="19">
        <f t="shared" ca="1" si="140"/>
        <v>0.12003373907751148</v>
      </c>
      <c r="O148" s="19">
        <f t="shared" ca="1" si="140"/>
        <v>0.12632784900020966</v>
      </c>
      <c r="P148" s="19">
        <f t="shared" ca="1" si="140"/>
        <v>0.13280103908075105</v>
      </c>
    </row>
    <row r="149" spans="2:18">
      <c r="B149" t="s">
        <v>106</v>
      </c>
      <c r="E149" s="19">
        <f>E143/E138</f>
        <v>0.13384321223709369</v>
      </c>
      <c r="F149" s="19">
        <f t="shared" ref="F149:P149" ca="1" si="141">F143/F138</f>
        <v>0.13316658388219205</v>
      </c>
      <c r="G149" s="19">
        <f t="shared" ca="1" si="141"/>
        <v>0.13627605417053301</v>
      </c>
      <c r="H149" s="19">
        <f t="shared" ca="1" si="141"/>
        <v>0.14093542359892605</v>
      </c>
      <c r="I149" s="19">
        <f t="shared" ca="1" si="141"/>
        <v>0.14671833454655828</v>
      </c>
      <c r="J149" s="19">
        <f t="shared" ca="1" si="141"/>
        <v>0.15335320727882026</v>
      </c>
      <c r="K149" s="19">
        <f t="shared" ca="1" si="141"/>
        <v>0.16065640550268781</v>
      </c>
      <c r="L149" s="19">
        <f t="shared" ca="1" si="141"/>
        <v>0.16849769928782696</v>
      </c>
      <c r="M149" s="19">
        <f t="shared" ca="1" si="141"/>
        <v>0.17678118875885851</v>
      </c>
      <c r="N149" s="19">
        <f t="shared" ca="1" si="141"/>
        <v>0.18543416639165522</v>
      </c>
      <c r="O149" s="19">
        <f t="shared" ca="1" si="141"/>
        <v>0.1944002927186706</v>
      </c>
      <c r="P149" s="19">
        <f t="shared" ca="1" si="141"/>
        <v>0.20363522838005288</v>
      </c>
    </row>
    <row r="150" spans="2:18">
      <c r="B150" t="s">
        <v>107</v>
      </c>
      <c r="E150" s="19">
        <f>E144/E139</f>
        <v>8.5872576177285317E-2</v>
      </c>
      <c r="F150" s="19">
        <f t="shared" ref="F150:P150" ca="1" si="142">F144/F139</f>
        <v>8.3000464858234466E-2</v>
      </c>
      <c r="G150" s="19">
        <f t="shared" ca="1" si="142"/>
        <v>8.526925524821001E-2</v>
      </c>
      <c r="H150" s="19">
        <f t="shared" ca="1" si="142"/>
        <v>8.8607099989602964E-2</v>
      </c>
      <c r="I150" s="19">
        <f t="shared" ca="1" si="142"/>
        <v>9.2721067729390386E-2</v>
      </c>
      <c r="J150" s="19">
        <f t="shared" ca="1" si="142"/>
        <v>9.7423177595167831E-2</v>
      </c>
      <c r="K150" s="19">
        <f t="shared" ca="1" si="142"/>
        <v>0.10258554292231938</v>
      </c>
      <c r="L150" s="19">
        <f t="shared" ca="1" si="142"/>
        <v>0.10811701009854298</v>
      </c>
      <c r="M150" s="19">
        <f t="shared" ca="1" si="142"/>
        <v>0.11395017135557703</v>
      </c>
      <c r="N150" s="19">
        <f t="shared" ca="1" si="142"/>
        <v>0.12003373907751148</v>
      </c>
      <c r="O150" s="19">
        <f t="shared" ca="1" si="142"/>
        <v>0.12632784900020966</v>
      </c>
      <c r="P150" s="19">
        <f t="shared" ca="1" si="142"/>
        <v>0.13280103908075105</v>
      </c>
    </row>
    <row r="151" spans="2:18"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2:18">
      <c r="B152" s="20" t="s">
        <v>73</v>
      </c>
      <c r="C152" s="20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</row>
    <row r="153" spans="2:18">
      <c r="B153" t="s">
        <v>74</v>
      </c>
      <c r="E153" s="12">
        <f>E92+E91+E90</f>
        <v>1725</v>
      </c>
      <c r="F153" s="12">
        <f t="shared" ref="F153:P153" si="143">F92+F91+F90</f>
        <v>1948.7506250000001</v>
      </c>
      <c r="G153" s="12">
        <f t="shared" si="143"/>
        <v>2065.8717437500004</v>
      </c>
      <c r="H153" s="12">
        <f t="shared" si="143"/>
        <v>2158.9546025625</v>
      </c>
      <c r="I153" s="12">
        <f t="shared" si="143"/>
        <v>2233.0583795243751</v>
      </c>
      <c r="J153" s="12">
        <f t="shared" si="143"/>
        <v>2292.180048194256</v>
      </c>
      <c r="K153" s="12">
        <f t="shared" si="143"/>
        <v>2339.4774450108616</v>
      </c>
      <c r="L153" s="12">
        <f t="shared" si="143"/>
        <v>2377.4454926347285</v>
      </c>
      <c r="M153" s="12">
        <f t="shared" si="143"/>
        <v>2408.055416479107</v>
      </c>
      <c r="N153" s="12">
        <f t="shared" si="143"/>
        <v>2432.8647258621195</v>
      </c>
      <c r="O153" s="12">
        <f t="shared" si="143"/>
        <v>2453.1040992115713</v>
      </c>
      <c r="P153" s="12">
        <f t="shared" si="143"/>
        <v>2469.746023473248</v>
      </c>
    </row>
    <row r="154" spans="2:18">
      <c r="B154" t="s">
        <v>79</v>
      </c>
      <c r="E154" s="12">
        <f>E103+E104</f>
        <v>1600</v>
      </c>
      <c r="F154" s="12">
        <f t="shared" ref="F154:P154" ca="1" si="144">F103+F104</f>
        <v>1809.3656725424044</v>
      </c>
      <c r="G154" s="12">
        <f t="shared" ca="1" si="144"/>
        <v>1911.4803871870167</v>
      </c>
      <c r="H154" s="12">
        <f t="shared" ca="1" si="144"/>
        <v>1989.012695342592</v>
      </c>
      <c r="I154" s="12">
        <f t="shared" ca="1" si="144"/>
        <v>2047.1104238534754</v>
      </c>
      <c r="J154" s="12">
        <f t="shared" ca="1" si="144"/>
        <v>2089.8395027474176</v>
      </c>
      <c r="K154" s="12">
        <f t="shared" ca="1" si="144"/>
        <v>2120.4111120253515</v>
      </c>
      <c r="L154" s="12">
        <f t="shared" ca="1" si="144"/>
        <v>2141.3611248572615</v>
      </c>
      <c r="M154" s="12">
        <f t="shared" ca="1" si="144"/>
        <v>2154.6918647966068</v>
      </c>
      <c r="N154" s="12">
        <f t="shared" ca="1" si="144"/>
        <v>2161.9840909199684</v>
      </c>
      <c r="O154" s="12">
        <f t="shared" ca="1" si="144"/>
        <v>2164.4854628706325</v>
      </c>
      <c r="P154" s="12">
        <f t="shared" ca="1" si="144"/>
        <v>2163.1804248613626</v>
      </c>
    </row>
    <row r="155" spans="2:18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2:18">
      <c r="B156" t="s">
        <v>75</v>
      </c>
      <c r="E156" s="29">
        <v>0</v>
      </c>
      <c r="F156" s="12">
        <f t="shared" ref="F156:P156" si="145">AVERAGE(E153:F153)</f>
        <v>1836.8753125000001</v>
      </c>
      <c r="G156" s="12">
        <f t="shared" si="145"/>
        <v>2007.3111843750003</v>
      </c>
      <c r="H156" s="12">
        <f t="shared" si="145"/>
        <v>2112.4131731562502</v>
      </c>
      <c r="I156" s="12">
        <f t="shared" si="145"/>
        <v>2196.0064910434376</v>
      </c>
      <c r="J156" s="12">
        <f t="shared" si="145"/>
        <v>2262.6192138593156</v>
      </c>
      <c r="K156" s="12">
        <f t="shared" si="145"/>
        <v>2315.8287466025586</v>
      </c>
      <c r="L156" s="12">
        <f t="shared" si="145"/>
        <v>2358.4614688227948</v>
      </c>
      <c r="M156" s="12">
        <f t="shared" si="145"/>
        <v>2392.7504545569177</v>
      </c>
      <c r="N156" s="12">
        <f t="shared" si="145"/>
        <v>2420.4600711706134</v>
      </c>
      <c r="O156" s="12">
        <f t="shared" si="145"/>
        <v>2442.9844125368454</v>
      </c>
      <c r="P156" s="12">
        <f t="shared" si="145"/>
        <v>2461.4250613424097</v>
      </c>
    </row>
    <row r="157" spans="2:18">
      <c r="B157" t="s">
        <v>80</v>
      </c>
      <c r="E157" s="29">
        <v>0</v>
      </c>
      <c r="F157" s="12">
        <f ca="1">AVERAGE(E154:F154)</f>
        <v>1704.6828362712022</v>
      </c>
      <c r="G157" s="12">
        <f t="shared" ref="G157" ca="1" si="146">AVERAGE(F154:G154)</f>
        <v>1860.4230298647105</v>
      </c>
      <c r="H157" s="12">
        <f t="shared" ref="H157" ca="1" si="147">AVERAGE(G154:H154)</f>
        <v>1950.2465412648044</v>
      </c>
      <c r="I157" s="12">
        <f t="shared" ref="I157" ca="1" si="148">AVERAGE(H154:I154)</f>
        <v>2018.0615595980337</v>
      </c>
      <c r="J157" s="12">
        <f t="shared" ref="J157" ca="1" si="149">AVERAGE(I154:J154)</f>
        <v>2068.4749633004467</v>
      </c>
      <c r="K157" s="12">
        <f t="shared" ref="K157" ca="1" si="150">AVERAGE(J154:K154)</f>
        <v>2105.1253073863845</v>
      </c>
      <c r="L157" s="12">
        <f t="shared" ref="L157" ca="1" si="151">AVERAGE(K154:L154)</f>
        <v>2130.8861184413063</v>
      </c>
      <c r="M157" s="12">
        <f t="shared" ref="M157" ca="1" si="152">AVERAGE(L154:M154)</f>
        <v>2148.0264948269341</v>
      </c>
      <c r="N157" s="12">
        <f t="shared" ref="N157" ca="1" si="153">AVERAGE(M154:N154)</f>
        <v>2158.3379778582876</v>
      </c>
      <c r="O157" s="12">
        <f t="shared" ref="O157" ca="1" si="154">AVERAGE(N154:O154)</f>
        <v>2163.2347768953005</v>
      </c>
      <c r="P157" s="12">
        <f t="shared" ref="P157" ca="1" si="155">AVERAGE(O154:P154)</f>
        <v>2163.8329438659975</v>
      </c>
    </row>
    <row r="158" spans="2:18">
      <c r="B158" t="s">
        <v>92</v>
      </c>
      <c r="E158" s="29">
        <v>0</v>
      </c>
      <c r="F158" s="12">
        <f>AVERAGE(E100:F100)</f>
        <v>1916.8765625000001</v>
      </c>
      <c r="G158" s="12">
        <f t="shared" ref="G158:P158" si="156">AVERAGE(F100:G100)</f>
        <v>2087.6434218750001</v>
      </c>
      <c r="H158" s="12">
        <f t="shared" si="156"/>
        <v>2193.5702407812496</v>
      </c>
      <c r="I158" s="12">
        <f t="shared" si="156"/>
        <v>2278.2890664671872</v>
      </c>
      <c r="J158" s="12">
        <f t="shared" si="156"/>
        <v>2346.2743102840777</v>
      </c>
      <c r="K158" s="12">
        <f t="shared" si="156"/>
        <v>2401.0611718549217</v>
      </c>
      <c r="L158" s="12">
        <f t="shared" si="156"/>
        <v>2445.4428818304978</v>
      </c>
      <c r="M158" s="12">
        <f t="shared" si="156"/>
        <v>2481.626523832505</v>
      </c>
      <c r="N158" s="12">
        <f t="shared" si="156"/>
        <v>2511.35613395782</v>
      </c>
      <c r="O158" s="12">
        <f t="shared" si="156"/>
        <v>2536.0099495594213</v>
      </c>
      <c r="P158" s="12">
        <f t="shared" si="156"/>
        <v>2556.677235959341</v>
      </c>
    </row>
    <row r="159" spans="2:18">
      <c r="B159" t="s">
        <v>77</v>
      </c>
      <c r="E159" s="29">
        <v>0</v>
      </c>
      <c r="F159" s="12">
        <f t="shared" ref="F159:P159" ca="1" si="157">AVERAGE(E144:F144)</f>
        <v>161.69372622879791</v>
      </c>
      <c r="G159" s="12">
        <f t="shared" ca="1" si="157"/>
        <v>175.71039201028952</v>
      </c>
      <c r="H159" s="12">
        <f t="shared" ca="1" si="157"/>
        <v>190.78349951644549</v>
      </c>
      <c r="I159" s="12">
        <f t="shared" ca="1" si="157"/>
        <v>206.63650286915359</v>
      </c>
      <c r="J159" s="12">
        <f t="shared" ca="1" si="157"/>
        <v>223.13652290363154</v>
      </c>
      <c r="K159" s="12">
        <f t="shared" ca="1" si="157"/>
        <v>240.17978390693696</v>
      </c>
      <c r="L159" s="12">
        <f t="shared" ca="1" si="157"/>
        <v>257.68556121635913</v>
      </c>
      <c r="M159" s="12">
        <f t="shared" ca="1" si="157"/>
        <v>275.5914027892826</v>
      </c>
      <c r="N159" s="12">
        <f t="shared" ca="1" si="157"/>
        <v>293.84935735891816</v>
      </c>
      <c r="O159" s="12">
        <f t="shared" ca="1" si="157"/>
        <v>312.42299794869427</v>
      </c>
      <c r="P159" s="12">
        <f t="shared" ca="1" si="157"/>
        <v>331.28507388360822</v>
      </c>
    </row>
    <row r="160" spans="2:18">
      <c r="B160" t="s">
        <v>78</v>
      </c>
      <c r="E160" s="29">
        <v>0</v>
      </c>
      <c r="F160" s="12">
        <f t="shared" ref="F160:P160" ca="1" si="158">AVERAGE(E110:F110)</f>
        <v>161.69372622879791</v>
      </c>
      <c r="G160" s="12">
        <f t="shared" ca="1" si="158"/>
        <v>175.71039201028952</v>
      </c>
      <c r="H160" s="12">
        <f t="shared" ca="1" si="158"/>
        <v>190.78349951644549</v>
      </c>
      <c r="I160" s="12">
        <f t="shared" ca="1" si="158"/>
        <v>206.63650286915359</v>
      </c>
      <c r="J160" s="12">
        <f t="shared" ca="1" si="158"/>
        <v>223.13652290363154</v>
      </c>
      <c r="K160" s="12">
        <f t="shared" ca="1" si="158"/>
        <v>240.17978390693696</v>
      </c>
      <c r="L160" s="12">
        <f t="shared" ca="1" si="158"/>
        <v>257.68556121635913</v>
      </c>
      <c r="M160" s="12">
        <f t="shared" ca="1" si="158"/>
        <v>275.5914027892826</v>
      </c>
      <c r="N160" s="12">
        <f t="shared" ca="1" si="158"/>
        <v>293.84935735891816</v>
      </c>
      <c r="O160" s="12">
        <f t="shared" ca="1" si="158"/>
        <v>312.42299794869427</v>
      </c>
      <c r="P160" s="12">
        <f t="shared" ca="1" si="158"/>
        <v>331.28507388360822</v>
      </c>
    </row>
    <row r="162" spans="1:16">
      <c r="B162" t="s">
        <v>84</v>
      </c>
      <c r="E162" s="29">
        <v>0</v>
      </c>
      <c r="F162" s="12">
        <f t="shared" ref="F162:P162" ca="1" si="159">F82-F75</f>
        <v>16.188778006143988</v>
      </c>
      <c r="G162" s="12">
        <f t="shared" ca="1" si="159"/>
        <v>18.619277616301439</v>
      </c>
      <c r="H162" s="12">
        <f t="shared" ca="1" si="159"/>
        <v>20.01122082851974</v>
      </c>
      <c r="I162" s="12">
        <f t="shared" ca="1" si="159"/>
        <v>21.182605122036396</v>
      </c>
      <c r="J162" s="12">
        <f t="shared" ca="1" si="159"/>
        <v>22.182516838493754</v>
      </c>
      <c r="K162" s="12">
        <f t="shared" ca="1" si="159"/>
        <v>23.049871172184652</v>
      </c>
      <c r="L162" s="12">
        <f t="shared" ca="1" si="159"/>
        <v>23.81555496245652</v>
      </c>
      <c r="M162" s="12">
        <f t="shared" ca="1" si="159"/>
        <v>24.504119842395024</v>
      </c>
      <c r="N162" s="12">
        <f t="shared" ca="1" si="159"/>
        <v>25.135120186105308</v>
      </c>
      <c r="O162" s="12">
        <f t="shared" ca="1" si="159"/>
        <v>25.724170464878746</v>
      </c>
      <c r="P162" s="12">
        <f t="shared" ca="1" si="159"/>
        <v>26.283780955272412</v>
      </c>
    </row>
    <row r="163" spans="1:16">
      <c r="B163" t="s">
        <v>88</v>
      </c>
      <c r="E163" s="29">
        <v>0</v>
      </c>
      <c r="F163" s="12">
        <f t="shared" ref="F163:P163" ca="1" si="160">F86+(F80*(1-F62))</f>
        <v>20.596080703993593</v>
      </c>
      <c r="G163" s="12">
        <f t="shared" ca="1" si="160"/>
        <v>22.532121700595937</v>
      </c>
      <c r="H163" s="12">
        <f t="shared" ca="1" si="160"/>
        <v>23.846670626037831</v>
      </c>
      <c r="I163" s="12">
        <f t="shared" ca="1" si="160"/>
        <v>24.931801228448659</v>
      </c>
      <c r="J163" s="12">
        <f t="shared" ca="1" si="160"/>
        <v>25.837491185329686</v>
      </c>
      <c r="K163" s="12">
        <f t="shared" ca="1" si="160"/>
        <v>26.603311901763931</v>
      </c>
      <c r="L163" s="12">
        <f t="shared" ca="1" si="160"/>
        <v>27.260618281073427</v>
      </c>
      <c r="M163" s="12">
        <f t="shared" ca="1" si="160"/>
        <v>27.83427886638335</v>
      </c>
      <c r="N163" s="12">
        <f t="shared" ca="1" si="160"/>
        <v>28.344042886341455</v>
      </c>
      <c r="O163" s="12">
        <f t="shared" ca="1" si="160"/>
        <v>28.80562046681586</v>
      </c>
      <c r="P163" s="12">
        <f t="shared" ca="1" si="160"/>
        <v>29.23153625599636</v>
      </c>
    </row>
    <row r="165" spans="1:16">
      <c r="A165" s="3" t="s">
        <v>1</v>
      </c>
      <c r="B165" s="20" t="s">
        <v>81</v>
      </c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</row>
    <row r="166" spans="1:16">
      <c r="B166" t="s">
        <v>82</v>
      </c>
      <c r="F166" s="13">
        <f t="shared" ref="F166:P166" ca="1" si="161">F76/F156</f>
        <v>3.4500194749766379E-2</v>
      </c>
      <c r="G166" s="13">
        <f t="shared" ca="1" si="161"/>
        <v>3.4538543785471644E-2</v>
      </c>
      <c r="H166" s="13">
        <f t="shared" ca="1" si="161"/>
        <v>3.4734857787033946E-2</v>
      </c>
      <c r="I166" s="13">
        <f t="shared" ca="1" si="161"/>
        <v>3.4933063659853894E-2</v>
      </c>
      <c r="J166" s="13">
        <f t="shared" ca="1" si="161"/>
        <v>3.5136258187402021E-2</v>
      </c>
      <c r="K166" s="13">
        <f t="shared" ca="1" si="161"/>
        <v>3.5346458339463704E-2</v>
      </c>
      <c r="L166" s="13">
        <f t="shared" ca="1" si="161"/>
        <v>3.5565060777564148E-2</v>
      </c>
      <c r="M166" s="13">
        <f t="shared" ca="1" si="161"/>
        <v>3.5793091089119239E-2</v>
      </c>
      <c r="N166" s="13">
        <f t="shared" ca="1" si="161"/>
        <v>3.6031348208980213E-2</v>
      </c>
      <c r="O166" s="13">
        <f t="shared" ca="1" si="161"/>
        <v>3.6280492787670066E-2</v>
      </c>
      <c r="P166" s="13">
        <f t="shared" ca="1" si="161"/>
        <v>3.6541103725878078E-2</v>
      </c>
    </row>
    <row r="167" spans="1:16">
      <c r="B167" t="s">
        <v>83</v>
      </c>
      <c r="F167" s="19">
        <f t="shared" ref="F167:P167" ca="1" si="162">F77/(F78)</f>
        <v>0.19999999999999998</v>
      </c>
      <c r="G167" s="19">
        <f t="shared" ca="1" si="162"/>
        <v>0.2</v>
      </c>
      <c r="H167" s="19">
        <f t="shared" ca="1" si="162"/>
        <v>0.19999999999999998</v>
      </c>
      <c r="I167" s="19">
        <f t="shared" ca="1" si="162"/>
        <v>0.19999999999999998</v>
      </c>
      <c r="J167" s="19">
        <f t="shared" ca="1" si="162"/>
        <v>0.2</v>
      </c>
      <c r="K167" s="19">
        <f t="shared" ca="1" si="162"/>
        <v>0.2</v>
      </c>
      <c r="L167" s="19">
        <f t="shared" ca="1" si="162"/>
        <v>0.19999999999999998</v>
      </c>
      <c r="M167" s="19">
        <f t="shared" ca="1" si="162"/>
        <v>0.2</v>
      </c>
      <c r="N167" s="19">
        <f t="shared" ca="1" si="162"/>
        <v>0.2</v>
      </c>
      <c r="O167" s="19">
        <f t="shared" ca="1" si="162"/>
        <v>0.2</v>
      </c>
      <c r="P167" s="19">
        <f t="shared" ca="1" si="162"/>
        <v>0.2</v>
      </c>
    </row>
    <row r="168" spans="1:16">
      <c r="B168" t="s">
        <v>66</v>
      </c>
      <c r="F168" s="19">
        <f ca="1">F79/F78</f>
        <v>0.6</v>
      </c>
      <c r="G168" s="19">
        <f t="shared" ref="G168:P168" ca="1" si="163">G79/G78</f>
        <v>0.6</v>
      </c>
      <c r="H168" s="19">
        <f t="shared" ca="1" si="163"/>
        <v>0.6</v>
      </c>
      <c r="I168" s="19">
        <f t="shared" ca="1" si="163"/>
        <v>0.6</v>
      </c>
      <c r="J168" s="19">
        <f t="shared" ca="1" si="163"/>
        <v>0.6</v>
      </c>
      <c r="K168" s="19">
        <f t="shared" ca="1" si="163"/>
        <v>0.6</v>
      </c>
      <c r="L168" s="19">
        <f t="shared" ca="1" si="163"/>
        <v>0.6</v>
      </c>
      <c r="M168" s="19">
        <f t="shared" ca="1" si="163"/>
        <v>0.59999999999999987</v>
      </c>
      <c r="N168" s="19">
        <f t="shared" ca="1" si="163"/>
        <v>0.6</v>
      </c>
      <c r="O168" s="19">
        <f t="shared" ca="1" si="163"/>
        <v>0.6</v>
      </c>
      <c r="P168" s="19">
        <f t="shared" ca="1" si="163"/>
        <v>0.6</v>
      </c>
    </row>
    <row r="169" spans="1:16">
      <c r="B169" t="s">
        <v>85</v>
      </c>
      <c r="F169" s="13">
        <f t="shared" ref="F169:P169" ca="1" si="164">F84/F158</f>
        <v>1.0744604585874888E-2</v>
      </c>
      <c r="G169" s="13">
        <f t="shared" ca="1" si="164"/>
        <v>1.0793089214612568E-2</v>
      </c>
      <c r="H169" s="13">
        <f t="shared" ca="1" si="164"/>
        <v>1.0871168008526928E-2</v>
      </c>
      <c r="I169" s="13">
        <f t="shared" ca="1" si="164"/>
        <v>1.0943212428749868E-2</v>
      </c>
      <c r="J169" s="13">
        <f t="shared" ca="1" si="164"/>
        <v>1.1012135738809407E-2</v>
      </c>
      <c r="K169" s="13">
        <f t="shared" ca="1" si="164"/>
        <v>1.107981429778057E-2</v>
      </c>
      <c r="L169" s="13">
        <f t="shared" ca="1" si="164"/>
        <v>1.1147517892819448E-2</v>
      </c>
      <c r="M169" s="13">
        <f t="shared" ca="1" si="164"/>
        <v>1.1216143363666756E-2</v>
      </c>
      <c r="N169" s="13">
        <f t="shared" ca="1" si="164"/>
        <v>1.1286349436100135E-2</v>
      </c>
      <c r="O169" s="13">
        <f t="shared" ca="1" si="164"/>
        <v>1.1358638585712266E-2</v>
      </c>
      <c r="P169" s="13">
        <f t="shared" ca="1" si="164"/>
        <v>1.1433408896851941E-2</v>
      </c>
    </row>
    <row r="170" spans="1:16">
      <c r="B170" t="s">
        <v>86</v>
      </c>
      <c r="F170" s="19">
        <f t="shared" ref="F170:P170" ca="1" si="165">F86/F160</f>
        <v>0.12737711712357952</v>
      </c>
      <c r="G170" s="19">
        <f t="shared" ca="1" si="165"/>
        <v>0.12823442849798244</v>
      </c>
      <c r="H170" s="19">
        <f t="shared" ca="1" si="165"/>
        <v>0.12499335994191811</v>
      </c>
      <c r="I170" s="19">
        <f t="shared" ca="1" si="165"/>
        <v>0.12065535799469071</v>
      </c>
      <c r="J170" s="19">
        <f t="shared" ca="1" si="165"/>
        <v>0.11579229992970901</v>
      </c>
      <c r="K170" s="19">
        <f t="shared" ca="1" si="165"/>
        <v>0.11076415953505887</v>
      </c>
      <c r="L170" s="19">
        <f t="shared" ca="1" si="165"/>
        <v>0.10579024355262474</v>
      </c>
      <c r="M170" s="19">
        <f t="shared" ca="1" si="165"/>
        <v>0.10099835693229321</v>
      </c>
      <c r="N170" s="19">
        <f t="shared" ca="1" si="165"/>
        <v>9.6457733108876675E-2</v>
      </c>
      <c r="O170" s="19">
        <f t="shared" ca="1" si="165"/>
        <v>9.2200704352585094E-2</v>
      </c>
      <c r="P170" s="19">
        <f t="shared" ca="1" si="165"/>
        <v>8.823680437310133E-2</v>
      </c>
    </row>
    <row r="171" spans="1:16">
      <c r="B171" t="s">
        <v>87</v>
      </c>
      <c r="F171" s="19">
        <f ca="1">F163/F159</f>
        <v>0.12737711712357952</v>
      </c>
      <c r="G171" s="19">
        <f t="shared" ref="G171:P171" ca="1" si="166">G163/G159</f>
        <v>0.12823442849798244</v>
      </c>
      <c r="H171" s="19">
        <f t="shared" ca="1" si="166"/>
        <v>0.12499335994191811</v>
      </c>
      <c r="I171" s="19">
        <f t="shared" ca="1" si="166"/>
        <v>0.12065535799469071</v>
      </c>
      <c r="J171" s="19">
        <f t="shared" ca="1" si="166"/>
        <v>0.11579229992970901</v>
      </c>
      <c r="K171" s="19">
        <f t="shared" ca="1" si="166"/>
        <v>0.11076415953505887</v>
      </c>
      <c r="L171" s="19">
        <f t="shared" ca="1" si="166"/>
        <v>0.10579024355262474</v>
      </c>
      <c r="M171" s="19">
        <f t="shared" ca="1" si="166"/>
        <v>0.10099835693229321</v>
      </c>
      <c r="N171" s="19">
        <f t="shared" ca="1" si="166"/>
        <v>9.6457733108876675E-2</v>
      </c>
      <c r="O171" s="19">
        <f t="shared" ca="1" si="166"/>
        <v>9.2200704352585094E-2</v>
      </c>
      <c r="P171" s="19">
        <f t="shared" ca="1" si="166"/>
        <v>8.823680437310133E-2</v>
      </c>
    </row>
    <row r="173" spans="1:16">
      <c r="B173" t="s">
        <v>123</v>
      </c>
      <c r="E173" s="16">
        <v>0.08</v>
      </c>
      <c r="F173" s="19">
        <f>E173</f>
        <v>0.08</v>
      </c>
      <c r="G173" s="19">
        <f>F173</f>
        <v>0.08</v>
      </c>
      <c r="H173" s="19">
        <f t="shared" ref="H173:P173" si="167">G173</f>
        <v>0.08</v>
      </c>
      <c r="I173" s="19">
        <f t="shared" si="167"/>
        <v>0.08</v>
      </c>
      <c r="J173" s="19">
        <f t="shared" si="167"/>
        <v>0.08</v>
      </c>
      <c r="K173" s="19">
        <f t="shared" si="167"/>
        <v>0.08</v>
      </c>
      <c r="L173" s="19">
        <f t="shared" si="167"/>
        <v>0.08</v>
      </c>
      <c r="M173" s="19">
        <f t="shared" si="167"/>
        <v>0.08</v>
      </c>
      <c r="N173" s="19">
        <f t="shared" si="167"/>
        <v>0.08</v>
      </c>
      <c r="O173" s="19">
        <f t="shared" si="167"/>
        <v>0.08</v>
      </c>
      <c r="P173" s="19">
        <f t="shared" si="167"/>
        <v>0.08</v>
      </c>
    </row>
    <row r="174" spans="1:16">
      <c r="B174" t="s">
        <v>123</v>
      </c>
      <c r="E174" s="12">
        <f t="shared" ref="E174:P174" si="168">E173*E139</f>
        <v>144.4</v>
      </c>
      <c r="F174" s="12">
        <f t="shared" si="168"/>
        <v>162.30025000000001</v>
      </c>
      <c r="G174" s="12">
        <f t="shared" si="168"/>
        <v>171.72269750000001</v>
      </c>
      <c r="H174" s="12">
        <f t="shared" si="168"/>
        <v>179.24854102499998</v>
      </c>
      <c r="I174" s="12">
        <f t="shared" si="168"/>
        <v>185.27770960974999</v>
      </c>
      <c r="J174" s="12">
        <f t="shared" si="168"/>
        <v>190.1261800357025</v>
      </c>
      <c r="K174" s="12">
        <f t="shared" si="168"/>
        <v>194.04360746108495</v>
      </c>
      <c r="L174" s="12">
        <f t="shared" si="168"/>
        <v>197.22725363179467</v>
      </c>
      <c r="M174" s="12">
        <f t="shared" si="168"/>
        <v>199.83299018140616</v>
      </c>
      <c r="N174" s="12">
        <f t="shared" si="168"/>
        <v>201.98399125184505</v>
      </c>
      <c r="O174" s="12">
        <f t="shared" si="168"/>
        <v>203.77760067766238</v>
      </c>
      <c r="P174" s="12">
        <f t="shared" si="168"/>
        <v>205.2907570758322</v>
      </c>
    </row>
    <row r="175" spans="1:16">
      <c r="B175" t="s">
        <v>124</v>
      </c>
      <c r="E175" s="12">
        <f t="shared" ref="E175:P175" si="169">E144-E174</f>
        <v>10.599999999999994</v>
      </c>
      <c r="F175" s="12">
        <f t="shared" ca="1" si="169"/>
        <v>6.0872024575958505</v>
      </c>
      <c r="G175" s="12">
        <f t="shared" ca="1" si="169"/>
        <v>11.310634062983183</v>
      </c>
      <c r="H175" s="12">
        <f t="shared" ca="1" si="169"/>
        <v>19.285126444907803</v>
      </c>
      <c r="I175" s="12">
        <f t="shared" ca="1" si="169"/>
        <v>29.461628658649403</v>
      </c>
      <c r="J175" s="12">
        <f t="shared" ca="1" si="169"/>
        <v>41.407527503161191</v>
      </c>
      <c r="K175" s="12">
        <f t="shared" ca="1" si="169"/>
        <v>54.782252813925311</v>
      </c>
      <c r="L175" s="12">
        <f t="shared" ca="1" si="169"/>
        <v>69.318008525913342</v>
      </c>
      <c r="M175" s="12">
        <f t="shared" ca="1" si="169"/>
        <v>84.804553239451025</v>
      </c>
      <c r="N175" s="12">
        <f t="shared" ca="1" si="169"/>
        <v>101.07718004513407</v>
      </c>
      <c r="O175" s="12">
        <f t="shared" ca="1" si="169"/>
        <v>118.00722392274704</v>
      </c>
      <c r="P175" s="12">
        <f t="shared" ca="1" si="169"/>
        <v>135.49456609097481</v>
      </c>
    </row>
    <row r="176" spans="1:16">
      <c r="B176" t="s">
        <v>125</v>
      </c>
      <c r="E176" s="29">
        <v>0</v>
      </c>
      <c r="F176" s="19">
        <f t="shared" ref="F176:P176" ca="1" si="170">F163/AVERAGE(E174:F174)</f>
        <v>0.13430755732343611</v>
      </c>
      <c r="G176" s="19">
        <f t="shared" ca="1" si="170"/>
        <v>0.1349136151826571</v>
      </c>
      <c r="H176" s="19">
        <f t="shared" ca="1" si="170"/>
        <v>0.13588960010658657</v>
      </c>
      <c r="I176" s="19">
        <f t="shared" ca="1" si="170"/>
        <v>0.13679015535937333</v>
      </c>
      <c r="J176" s="19">
        <f t="shared" ca="1" si="170"/>
        <v>0.13765169673511757</v>
      </c>
      <c r="K176" s="19">
        <f t="shared" ca="1" si="170"/>
        <v>0.13849767872225713</v>
      </c>
      <c r="L176" s="19">
        <f t="shared" ca="1" si="170"/>
        <v>0.13934397366024309</v>
      </c>
      <c r="M176" s="19">
        <f t="shared" ca="1" si="170"/>
        <v>0.14020179204583444</v>
      </c>
      <c r="N176" s="19">
        <f t="shared" ca="1" si="170"/>
        <v>0.14107936795125167</v>
      </c>
      <c r="O176" s="19">
        <f t="shared" ca="1" si="170"/>
        <v>0.14198298232140333</v>
      </c>
      <c r="P176" s="19">
        <f t="shared" ca="1" si="170"/>
        <v>0.14291761121064928</v>
      </c>
    </row>
    <row r="178" spans="1:17">
      <c r="B178" t="s">
        <v>93</v>
      </c>
      <c r="F178" s="13">
        <f t="shared" ref="F178:P178" ca="1" si="171">F81/F158</f>
        <v>2.4795241352018972E-2</v>
      </c>
      <c r="G178" s="13">
        <f t="shared" ca="1" si="171"/>
        <v>2.4907128956798235E-2</v>
      </c>
      <c r="H178" s="13">
        <f t="shared" ca="1" si="171"/>
        <v>2.5087310788908291E-2</v>
      </c>
      <c r="I178" s="13">
        <f t="shared" ca="1" si="171"/>
        <v>2.5253567143268922E-2</v>
      </c>
      <c r="J178" s="13">
        <f t="shared" ca="1" si="171"/>
        <v>2.5412620935714014E-2</v>
      </c>
      <c r="K178" s="13">
        <f t="shared" ca="1" si="171"/>
        <v>2.5568802225647471E-2</v>
      </c>
      <c r="L178" s="13">
        <f t="shared" ca="1" si="171"/>
        <v>2.5725041291121797E-2</v>
      </c>
      <c r="M178" s="13">
        <f t="shared" ca="1" si="171"/>
        <v>2.5883407762307891E-2</v>
      </c>
      <c r="N178" s="13">
        <f t="shared" ca="1" si="171"/>
        <v>2.6045421775615692E-2</v>
      </c>
      <c r="O178" s="13">
        <f t="shared" ca="1" si="171"/>
        <v>2.6212242890105226E-2</v>
      </c>
      <c r="P178" s="13">
        <f t="shared" ca="1" si="171"/>
        <v>2.638478976196602E-2</v>
      </c>
    </row>
    <row r="179" spans="1:17">
      <c r="B179" t="s">
        <v>140</v>
      </c>
      <c r="F179" s="13">
        <f ca="1">(F82+F75)/F158</f>
        <v>2.4614927705416074E-2</v>
      </c>
      <c r="G179" s="13">
        <f t="shared" ref="G179:P179" ca="1" si="172">(G82+G75)/G158</f>
        <v>2.4290703615829363E-2</v>
      </c>
      <c r="H179" s="13">
        <f t="shared" ca="1" si="172"/>
        <v>2.4327076168536195E-2</v>
      </c>
      <c r="I179" s="13">
        <f t="shared" ca="1" si="172"/>
        <v>2.4373829574288648E-2</v>
      </c>
      <c r="J179" s="13">
        <f t="shared" ca="1" si="172"/>
        <v>2.4429136775786446E-2</v>
      </c>
      <c r="K179" s="13">
        <f t="shared" ca="1" si="172"/>
        <v>2.4491867941667078E-2</v>
      </c>
      <c r="L179" s="13">
        <f t="shared" ca="1" si="172"/>
        <v>2.456130583299905E-2</v>
      </c>
      <c r="M179" s="13">
        <f t="shared" ca="1" si="172"/>
        <v>2.4636992933437383E-2</v>
      </c>
      <c r="N179" s="13">
        <f t="shared" ca="1" si="172"/>
        <v>2.4718644490434791E-2</v>
      </c>
      <c r="O179" s="13">
        <f t="shared" ca="1" si="172"/>
        <v>2.4806096642280014E-2</v>
      </c>
      <c r="P179" s="13">
        <f t="shared" ca="1" si="172"/>
        <v>2.4899274194393764E-2</v>
      </c>
    </row>
    <row r="181" spans="1:17">
      <c r="B181" t="s">
        <v>116</v>
      </c>
      <c r="F181" s="15">
        <f>F92/F103</f>
        <v>0.93111111111111111</v>
      </c>
      <c r="G181" s="15">
        <f t="shared" ref="G181:P181" si="173">G92/G103</f>
        <v>0.94242479213907793</v>
      </c>
      <c r="H181" s="15">
        <f t="shared" si="173"/>
        <v>0.93941915559874734</v>
      </c>
      <c r="I181" s="15">
        <f t="shared" si="173"/>
        <v>0.92618840558546411</v>
      </c>
      <c r="J181" s="15">
        <f t="shared" si="173"/>
        <v>0.90578682573684277</v>
      </c>
      <c r="K181" s="15">
        <f t="shared" si="173"/>
        <v>0.88048752703843935</v>
      </c>
      <c r="L181" s="15">
        <f t="shared" si="173"/>
        <v>0.85197706552076291</v>
      </c>
      <c r="M181" s="15">
        <f t="shared" si="173"/>
        <v>0.82150181250422394</v>
      </c>
      <c r="N181" s="15">
        <f t="shared" si="173"/>
        <v>0.78997802706601916</v>
      </c>
      <c r="O181" s="15">
        <f t="shared" si="173"/>
        <v>0.75807462130815972</v>
      </c>
      <c r="P181" s="15">
        <f t="shared" si="173"/>
        <v>0.72627538264537972</v>
      </c>
    </row>
    <row r="182" spans="1:17">
      <c r="B182" t="s">
        <v>117</v>
      </c>
      <c r="F182" s="15">
        <f>(F90+F91)/F100</f>
        <v>0.23770789016036634</v>
      </c>
      <c r="G182" s="15">
        <f t="shared" ref="G182:P182" si="174">(G90+G91)/G100</f>
        <v>0.23635163022057698</v>
      </c>
      <c r="H182" s="15">
        <f t="shared" si="174"/>
        <v>0.23552189581901234</v>
      </c>
      <c r="I182" s="15">
        <f t="shared" si="174"/>
        <v>0.23505328824325142</v>
      </c>
      <c r="J182" s="15">
        <f t="shared" si="174"/>
        <v>0.23484257043378259</v>
      </c>
      <c r="K182" s="15">
        <f t="shared" si="174"/>
        <v>0.23482193824364506</v>
      </c>
      <c r="L182" s="15">
        <f t="shared" si="174"/>
        <v>0.23494503867484071</v>
      </c>
      <c r="M182" s="15">
        <f t="shared" si="174"/>
        <v>0.23517915775384177</v>
      </c>
      <c r="N182" s="15">
        <f t="shared" si="174"/>
        <v>0.23550061253514501</v>
      </c>
      <c r="O182" s="15">
        <f t="shared" si="174"/>
        <v>0.23589190615477826</v>
      </c>
      <c r="P182" s="15">
        <f t="shared" si="174"/>
        <v>0.23633990130209412</v>
      </c>
    </row>
    <row r="184" spans="1:17">
      <c r="B184" t="s">
        <v>119</v>
      </c>
      <c r="E184" s="29">
        <v>0</v>
      </c>
      <c r="F184" s="19">
        <f>F100/E100-1</f>
        <v>0.12396295013850422</v>
      </c>
      <c r="G184" s="19">
        <f t="shared" ref="G184:P184" si="175">G100/F100-1</f>
        <v>5.8055656106506204E-2</v>
      </c>
      <c r="H184" s="19">
        <f t="shared" si="175"/>
        <v>4.3825560828963717E-2</v>
      </c>
      <c r="I184" s="19">
        <f t="shared" si="175"/>
        <v>3.363580283707357E-2</v>
      </c>
      <c r="J184" s="19">
        <f t="shared" si="175"/>
        <v>2.6168665600221575E-2</v>
      </c>
      <c r="K184" s="19">
        <f t="shared" si="175"/>
        <v>2.0604355616079983E-2</v>
      </c>
      <c r="L184" s="19">
        <f t="shared" si="175"/>
        <v>1.6406859325928558E-2</v>
      </c>
      <c r="M184" s="19">
        <f t="shared" si="175"/>
        <v>1.3211848269591542E-2</v>
      </c>
      <c r="N184" s="19">
        <f t="shared" si="175"/>
        <v>1.0763993815466666E-2</v>
      </c>
      <c r="O184" s="19">
        <f t="shared" si="175"/>
        <v>8.8799583308607488E-3</v>
      </c>
      <c r="P184" s="19">
        <f t="shared" si="175"/>
        <v>7.4255285818354277E-3</v>
      </c>
    </row>
    <row r="186" spans="1:17">
      <c r="B186" s="4" t="s">
        <v>151</v>
      </c>
      <c r="C186" s="4"/>
    </row>
    <row r="187" spans="1:17">
      <c r="A187" s="3" t="s">
        <v>1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9" spans="1:17">
      <c r="B189" s="20" t="s">
        <v>193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</row>
    <row r="191" spans="1:17">
      <c r="B191" s="4" t="s">
        <v>120</v>
      </c>
      <c r="G191" s="4" t="s">
        <v>163</v>
      </c>
      <c r="L191" s="4" t="s">
        <v>155</v>
      </c>
      <c r="N191" s="66" t="s">
        <v>158</v>
      </c>
      <c r="O191" s="66" t="s">
        <v>230</v>
      </c>
      <c r="P191" s="66" t="s">
        <v>160</v>
      </c>
      <c r="Q191" s="66" t="s">
        <v>159</v>
      </c>
    </row>
    <row r="192" spans="1:17">
      <c r="B192" s="6" t="s">
        <v>184</v>
      </c>
      <c r="C192" s="6"/>
      <c r="D192" s="6"/>
      <c r="E192" s="82">
        <v>42004</v>
      </c>
      <c r="G192" s="6" t="s">
        <v>178</v>
      </c>
      <c r="H192" s="6"/>
      <c r="I192" s="6"/>
      <c r="J192" s="73">
        <v>3.5999999999999997E-2</v>
      </c>
      <c r="L192" s="6" t="s">
        <v>156</v>
      </c>
      <c r="M192" s="6"/>
      <c r="N192" s="69">
        <v>50</v>
      </c>
      <c r="O192" s="10">
        <v>0</v>
      </c>
      <c r="P192" s="10">
        <f>-E195*E196</f>
        <v>-30</v>
      </c>
      <c r="Q192" s="10">
        <f>SUM(N192:P192)</f>
        <v>20</v>
      </c>
    </row>
    <row r="193" spans="2:18">
      <c r="B193" t="s">
        <v>185</v>
      </c>
      <c r="E193" s="83">
        <f>EDATE(E192,12)</f>
        <v>42369</v>
      </c>
      <c r="G193" t="s">
        <v>179</v>
      </c>
      <c r="J193" s="16">
        <v>0.15</v>
      </c>
      <c r="L193" t="s">
        <v>31</v>
      </c>
      <c r="N193" s="11">
        <v>100</v>
      </c>
      <c r="O193" s="10">
        <v>0</v>
      </c>
      <c r="P193" s="10">
        <v>0</v>
      </c>
      <c r="Q193" s="10">
        <f>SUM(N193:P193)</f>
        <v>100</v>
      </c>
    </row>
    <row r="194" spans="2:18">
      <c r="B194" t="s">
        <v>152</v>
      </c>
      <c r="E194" s="104">
        <v>0.6</v>
      </c>
      <c r="G194" t="s">
        <v>180</v>
      </c>
      <c r="J194" s="16">
        <v>0.75</v>
      </c>
      <c r="L194" t="s">
        <v>33</v>
      </c>
      <c r="N194" s="11">
        <v>500</v>
      </c>
      <c r="O194" s="10">
        <f>-N194*$E$203</f>
        <v>-25</v>
      </c>
      <c r="P194" s="10">
        <v>0</v>
      </c>
      <c r="Q194" s="10">
        <f>SUM(N194:P194)</f>
        <v>475</v>
      </c>
    </row>
    <row r="195" spans="2:18">
      <c r="B195" s="4" t="s">
        <v>169</v>
      </c>
      <c r="E195" s="70">
        <f>E194*$N$203</f>
        <v>30</v>
      </c>
      <c r="G195" t="s">
        <v>164</v>
      </c>
      <c r="J195" s="16">
        <v>0.8</v>
      </c>
      <c r="L195" t="s">
        <v>172</v>
      </c>
      <c r="N195" s="11">
        <v>0</v>
      </c>
      <c r="O195" s="10">
        <v>0</v>
      </c>
      <c r="P195" s="10">
        <f>J204+J205+J206-N195</f>
        <v>6.05</v>
      </c>
      <c r="Q195" s="10">
        <f>SUM(N195:P195)</f>
        <v>6.05</v>
      </c>
      <c r="R195" s="80" t="s">
        <v>183</v>
      </c>
    </row>
    <row r="196" spans="2:18">
      <c r="B196" t="s">
        <v>167</v>
      </c>
      <c r="E196" s="65">
        <v>1</v>
      </c>
      <c r="G196" s="35" t="s">
        <v>173</v>
      </c>
      <c r="H196" s="35"/>
      <c r="I196" s="35"/>
      <c r="J196" s="75">
        <v>0.01</v>
      </c>
      <c r="L196" t="s">
        <v>37</v>
      </c>
      <c r="N196" s="11">
        <v>50</v>
      </c>
      <c r="O196" s="10">
        <v>0</v>
      </c>
      <c r="P196" s="10">
        <f>-P194*$E$204</f>
        <v>0</v>
      </c>
      <c r="Q196" s="10">
        <f>SUM(N196:P196)</f>
        <v>50</v>
      </c>
    </row>
    <row r="197" spans="2:18">
      <c r="B197" t="s">
        <v>168</v>
      </c>
      <c r="E197" s="15">
        <f>1-E196</f>
        <v>0</v>
      </c>
      <c r="L197" s="7" t="s">
        <v>38</v>
      </c>
      <c r="N197" s="24">
        <f>SUM(N192:N196)</f>
        <v>700</v>
      </c>
      <c r="O197" s="24">
        <f>SUM(O192:O196)</f>
        <v>-25</v>
      </c>
      <c r="P197" s="24">
        <f>SUM(P192:P196)</f>
        <v>-23.95</v>
      </c>
      <c r="Q197" s="24">
        <f>SUM(Q192:Q196)</f>
        <v>651.04999999999995</v>
      </c>
    </row>
    <row r="198" spans="2:18">
      <c r="B198" t="s">
        <v>153</v>
      </c>
      <c r="E198" s="65">
        <v>0.5</v>
      </c>
      <c r="G198" s="4" t="s">
        <v>231</v>
      </c>
      <c r="N198" s="10"/>
      <c r="O198" s="10"/>
      <c r="P198" s="10"/>
      <c r="Q198" s="10"/>
    </row>
    <row r="199" spans="2:18">
      <c r="B199" s="72" t="s">
        <v>170</v>
      </c>
      <c r="E199" s="65">
        <v>0.5</v>
      </c>
      <c r="G199" s="6" t="s">
        <v>122</v>
      </c>
      <c r="H199" s="6"/>
      <c r="I199" s="6"/>
      <c r="J199" s="105">
        <f>E195</f>
        <v>30</v>
      </c>
      <c r="L199" t="s">
        <v>41</v>
      </c>
      <c r="N199" s="11">
        <v>600</v>
      </c>
      <c r="O199" s="10">
        <v>0</v>
      </c>
      <c r="P199" s="10">
        <v>0</v>
      </c>
      <c r="Q199" s="10">
        <f>SUM(N199:P199)</f>
        <v>600</v>
      </c>
    </row>
    <row r="200" spans="2:18">
      <c r="B200" s="72" t="s">
        <v>171</v>
      </c>
      <c r="E200" s="65">
        <v>1</v>
      </c>
      <c r="G200" t="s">
        <v>232</v>
      </c>
      <c r="J200" s="106">
        <f>N203-N195</f>
        <v>50</v>
      </c>
      <c r="L200" t="s">
        <v>42</v>
      </c>
      <c r="N200" s="11">
        <v>25</v>
      </c>
      <c r="O200" s="10">
        <v>0</v>
      </c>
      <c r="P200" s="10">
        <v>0</v>
      </c>
      <c r="Q200" s="10">
        <f>SUM(N200:P200)</f>
        <v>25</v>
      </c>
    </row>
    <row r="201" spans="2:18">
      <c r="B201" t="s">
        <v>194</v>
      </c>
      <c r="E201" s="65">
        <v>1.5</v>
      </c>
      <c r="G201" t="s">
        <v>233</v>
      </c>
      <c r="J201" s="106">
        <f>O203</f>
        <v>-25</v>
      </c>
      <c r="L201" t="s">
        <v>43</v>
      </c>
      <c r="N201" s="11">
        <v>25</v>
      </c>
      <c r="O201" s="10">
        <v>0</v>
      </c>
      <c r="P201" s="10">
        <f>+J206</f>
        <v>1.0499999999999998</v>
      </c>
      <c r="Q201" s="10">
        <f>SUM(N201:P201)</f>
        <v>26.05</v>
      </c>
    </row>
    <row r="202" spans="2:18">
      <c r="B202" t="s">
        <v>154</v>
      </c>
      <c r="E202" s="16">
        <v>5.0000000000000001E-3</v>
      </c>
      <c r="G202" t="s">
        <v>234</v>
      </c>
      <c r="J202" s="108">
        <f>J199-J200-J201</f>
        <v>5</v>
      </c>
      <c r="L202" s="7" t="s">
        <v>44</v>
      </c>
      <c r="N202" s="24">
        <f>SUM(N199:N201)</f>
        <v>650</v>
      </c>
      <c r="O202" s="24">
        <f>SUM(O199:O201)</f>
        <v>0</v>
      </c>
      <c r="P202" s="24">
        <f>SUM(P199:P201)</f>
        <v>1.0499999999999998</v>
      </c>
      <c r="Q202" s="24">
        <f>SUM(Q199:Q201)</f>
        <v>651.04999999999995</v>
      </c>
    </row>
    <row r="203" spans="2:18">
      <c r="B203" t="s">
        <v>161</v>
      </c>
      <c r="E203" s="16">
        <v>0.05</v>
      </c>
      <c r="G203" s="4" t="s">
        <v>237</v>
      </c>
      <c r="J203" s="106"/>
      <c r="L203" t="s">
        <v>157</v>
      </c>
      <c r="N203" s="11">
        <v>50</v>
      </c>
      <c r="O203" s="10">
        <f>O197-O202</f>
        <v>-25</v>
      </c>
      <c r="P203" s="10">
        <f>-N203-O203</f>
        <v>-25</v>
      </c>
      <c r="Q203" s="10">
        <f>SUM(N203:P203)</f>
        <v>0</v>
      </c>
    </row>
    <row r="204" spans="2:18">
      <c r="B204" s="35" t="s">
        <v>174</v>
      </c>
      <c r="C204" s="35"/>
      <c r="D204" s="35"/>
      <c r="E204" s="71">
        <v>0.35</v>
      </c>
      <c r="G204" t="s">
        <v>35</v>
      </c>
      <c r="J204" s="106">
        <f>J202-J205</f>
        <v>2</v>
      </c>
      <c r="L204" s="7" t="s">
        <v>139</v>
      </c>
      <c r="N204" s="24">
        <f>SUM(N202:N203)</f>
        <v>700</v>
      </c>
      <c r="O204" s="24">
        <f t="shared" ref="O204:Q204" si="176">SUM(O202:O203)</f>
        <v>-25</v>
      </c>
      <c r="P204" s="24">
        <f t="shared" si="176"/>
        <v>-23.95</v>
      </c>
      <c r="Q204" s="24">
        <f t="shared" si="176"/>
        <v>651.04999999999995</v>
      </c>
    </row>
    <row r="205" spans="2:18">
      <c r="G205" t="s">
        <v>235</v>
      </c>
      <c r="J205" s="106">
        <f>N199*E202</f>
        <v>3</v>
      </c>
      <c r="L205" t="s">
        <v>165</v>
      </c>
      <c r="N205" s="10">
        <f>N197*$J$195</f>
        <v>560</v>
      </c>
      <c r="Q205" s="10">
        <f>Q197*$J$195</f>
        <v>520.84</v>
      </c>
    </row>
    <row r="206" spans="2:18">
      <c r="G206" s="35" t="s">
        <v>236</v>
      </c>
      <c r="H206" s="35"/>
      <c r="I206" s="35"/>
      <c r="J206" s="107">
        <f>J205*$E$204</f>
        <v>1.0499999999999998</v>
      </c>
      <c r="L206" t="s">
        <v>108</v>
      </c>
      <c r="N206" s="10">
        <f>N197-N195</f>
        <v>700</v>
      </c>
      <c r="Q206" s="10">
        <f>Q197-Q195</f>
        <v>645</v>
      </c>
    </row>
    <row r="207" spans="2:18">
      <c r="B207" s="80"/>
      <c r="L207" t="s">
        <v>162</v>
      </c>
      <c r="N207" s="19">
        <f>(N203-N195)/(N197-N195)</f>
        <v>7.1428571428571425E-2</v>
      </c>
      <c r="Q207" s="19">
        <f>(Q203-Q195)/(Q197-Q195)</f>
        <v>-9.3798449612403096E-3</v>
      </c>
    </row>
    <row r="208" spans="2:18">
      <c r="L208" s="35" t="s">
        <v>166</v>
      </c>
      <c r="M208" s="35"/>
      <c r="N208" s="76">
        <f>N203/N205</f>
        <v>8.9285714285714288E-2</v>
      </c>
      <c r="O208" s="35"/>
      <c r="P208" s="35"/>
      <c r="Q208" s="76">
        <f>Q203/Q205</f>
        <v>0</v>
      </c>
    </row>
    <row r="211" spans="2:16">
      <c r="B211" s="4" t="s">
        <v>175</v>
      </c>
      <c r="D211" s="84"/>
      <c r="E211" s="84">
        <f>E193</f>
        <v>42369</v>
      </c>
      <c r="F211" s="84">
        <f>EDATE(E211,12)</f>
        <v>42735</v>
      </c>
      <c r="G211" s="84">
        <f>EDATE(F211,12)</f>
        <v>43100</v>
      </c>
      <c r="H211" s="84">
        <f t="shared" ref="H211:P211" si="177">EDATE(G211,12)</f>
        <v>43465</v>
      </c>
      <c r="I211" s="84">
        <f t="shared" si="177"/>
        <v>43830</v>
      </c>
      <c r="J211" s="84">
        <f t="shared" si="177"/>
        <v>44196</v>
      </c>
      <c r="K211" s="84">
        <f t="shared" si="177"/>
        <v>44561</v>
      </c>
      <c r="L211" s="84">
        <f t="shared" si="177"/>
        <v>44926</v>
      </c>
      <c r="M211" s="84">
        <f t="shared" si="177"/>
        <v>45291</v>
      </c>
      <c r="N211" s="84">
        <f t="shared" si="177"/>
        <v>45657</v>
      </c>
      <c r="O211" s="84">
        <f t="shared" si="177"/>
        <v>46022</v>
      </c>
      <c r="P211" s="84">
        <f t="shared" si="177"/>
        <v>46387</v>
      </c>
    </row>
    <row r="212" spans="2:16">
      <c r="B212" s="6"/>
      <c r="C212" s="6"/>
    </row>
    <row r="213" spans="2:16">
      <c r="B213" t="s">
        <v>192</v>
      </c>
      <c r="E213" s="9">
        <f t="shared" ref="E213:P213" si="178">(E224*$J$192)+($P$192*$J$196)</f>
        <v>21.119999999999997</v>
      </c>
      <c r="F213" s="9">
        <f t="shared" si="178"/>
        <v>21.119999999999997</v>
      </c>
      <c r="G213" s="9">
        <f t="shared" si="178"/>
        <v>21.119999999999997</v>
      </c>
      <c r="H213" s="9">
        <f t="shared" si="178"/>
        <v>21.119999999999997</v>
      </c>
      <c r="I213" s="9">
        <f t="shared" si="178"/>
        <v>21.119999999999997</v>
      </c>
      <c r="J213" s="9">
        <f t="shared" si="178"/>
        <v>21.119999999999997</v>
      </c>
      <c r="K213" s="9">
        <f t="shared" si="178"/>
        <v>21.119999999999997</v>
      </c>
      <c r="L213" s="9">
        <f t="shared" si="178"/>
        <v>21.119999999999997</v>
      </c>
      <c r="M213" s="9">
        <f t="shared" si="178"/>
        <v>21.119999999999997</v>
      </c>
      <c r="N213" s="9">
        <f t="shared" si="178"/>
        <v>21.119999999999997</v>
      </c>
      <c r="O213" s="9">
        <f t="shared" si="178"/>
        <v>21.119999999999997</v>
      </c>
      <c r="P213" s="9">
        <f t="shared" si="178"/>
        <v>21.119999999999997</v>
      </c>
    </row>
    <row r="214" spans="2:16">
      <c r="B214" t="s">
        <v>181</v>
      </c>
      <c r="E214" s="9">
        <v>0</v>
      </c>
      <c r="F214" s="9">
        <v>0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0</v>
      </c>
      <c r="N214" s="9">
        <v>0</v>
      </c>
      <c r="O214" s="9">
        <v>0</v>
      </c>
      <c r="P214" s="9">
        <v>0</v>
      </c>
    </row>
    <row r="215" spans="2:16">
      <c r="B215" t="s">
        <v>83</v>
      </c>
      <c r="E215" s="9">
        <f>(E213*$J$193)/(1-$J$193)</f>
        <v>3.7270588235294113</v>
      </c>
      <c r="F215" s="9">
        <f>(F213*$J$193)/(1-$J$193)</f>
        <v>3.7270588235294113</v>
      </c>
      <c r="G215" s="9">
        <f>(G213*$J$193)/(1-$J$193)</f>
        <v>3.7270588235294113</v>
      </c>
      <c r="H215" s="9">
        <f t="shared" ref="H215:P215" si="179">(H213*$J$193)/(1-$J$193)</f>
        <v>3.7270588235294113</v>
      </c>
      <c r="I215" s="9">
        <f t="shared" si="179"/>
        <v>3.7270588235294113</v>
      </c>
      <c r="J215" s="9">
        <f t="shared" si="179"/>
        <v>3.7270588235294113</v>
      </c>
      <c r="K215" s="9">
        <f t="shared" si="179"/>
        <v>3.7270588235294113</v>
      </c>
      <c r="L215" s="9">
        <f t="shared" si="179"/>
        <v>3.7270588235294113</v>
      </c>
      <c r="M215" s="9">
        <f t="shared" si="179"/>
        <v>3.7270588235294113</v>
      </c>
      <c r="N215" s="9">
        <f t="shared" si="179"/>
        <v>3.7270588235294113</v>
      </c>
      <c r="O215" s="9">
        <f t="shared" si="179"/>
        <v>3.7270588235294113</v>
      </c>
      <c r="P215" s="9">
        <f t="shared" si="179"/>
        <v>3.7270588235294113</v>
      </c>
    </row>
    <row r="216" spans="2:16">
      <c r="B216" s="74" t="s">
        <v>22</v>
      </c>
      <c r="E216" s="79">
        <f>SUM(E213:E215)</f>
        <v>24.847058823529409</v>
      </c>
      <c r="F216" s="79">
        <f>SUM(F213:F215)</f>
        <v>24.847058823529409</v>
      </c>
      <c r="G216" s="79">
        <f>SUM(G213:G215)</f>
        <v>24.847058823529409</v>
      </c>
      <c r="H216" s="79">
        <f t="shared" ref="H216:P216" si="180">SUM(H213:H215)</f>
        <v>24.847058823529409</v>
      </c>
      <c r="I216" s="79">
        <f t="shared" si="180"/>
        <v>24.847058823529409</v>
      </c>
      <c r="J216" s="79">
        <f t="shared" si="180"/>
        <v>24.847058823529409</v>
      </c>
      <c r="K216" s="79">
        <f t="shared" si="180"/>
        <v>24.847058823529409</v>
      </c>
      <c r="L216" s="79">
        <f t="shared" si="180"/>
        <v>24.847058823529409</v>
      </c>
      <c r="M216" s="79">
        <f t="shared" si="180"/>
        <v>24.847058823529409</v>
      </c>
      <c r="N216" s="79">
        <f t="shared" si="180"/>
        <v>24.847058823529409</v>
      </c>
      <c r="O216" s="79">
        <f t="shared" si="180"/>
        <v>24.847058823529409</v>
      </c>
      <c r="P216" s="79">
        <f t="shared" si="180"/>
        <v>24.847058823529409</v>
      </c>
    </row>
    <row r="217" spans="2:16">
      <c r="B217" t="s">
        <v>182</v>
      </c>
      <c r="E217" s="9">
        <f>E216*$J$194</f>
        <v>18.635294117647057</v>
      </c>
      <c r="F217" s="9">
        <f>F216*$J$194</f>
        <v>18.635294117647057</v>
      </c>
      <c r="G217" s="9">
        <f>G216*$J$194</f>
        <v>18.635294117647057</v>
      </c>
      <c r="H217" s="9">
        <f t="shared" ref="H217:P217" si="181">H216*$J$194</f>
        <v>18.635294117647057</v>
      </c>
      <c r="I217" s="9">
        <f t="shared" si="181"/>
        <v>18.635294117647057</v>
      </c>
      <c r="J217" s="9">
        <f t="shared" si="181"/>
        <v>18.635294117647057</v>
      </c>
      <c r="K217" s="9">
        <f t="shared" si="181"/>
        <v>18.635294117647057</v>
      </c>
      <c r="L217" s="9">
        <f t="shared" si="181"/>
        <v>18.635294117647057</v>
      </c>
      <c r="M217" s="9">
        <f t="shared" si="181"/>
        <v>18.635294117647057</v>
      </c>
      <c r="N217" s="9">
        <f t="shared" si="181"/>
        <v>18.635294117647057</v>
      </c>
      <c r="O217" s="9">
        <f t="shared" si="181"/>
        <v>18.635294117647057</v>
      </c>
      <c r="P217" s="9">
        <f t="shared" si="181"/>
        <v>18.635294117647057</v>
      </c>
    </row>
    <row r="218" spans="2:16">
      <c r="B218" t="s">
        <v>153</v>
      </c>
      <c r="E218" s="67">
        <f>E217*$E$198*E199</f>
        <v>4.6588235294117641</v>
      </c>
      <c r="F218" s="67">
        <f>F217*$E$198*E200</f>
        <v>9.3176470588235283</v>
      </c>
      <c r="G218" s="67">
        <f>G217*$E$198</f>
        <v>9.3176470588235283</v>
      </c>
      <c r="H218" s="67">
        <f t="shared" ref="H218:P218" si="182">H217*$E$198</f>
        <v>9.3176470588235283</v>
      </c>
      <c r="I218" s="67">
        <f t="shared" si="182"/>
        <v>9.3176470588235283</v>
      </c>
      <c r="J218" s="67">
        <f t="shared" si="182"/>
        <v>9.3176470588235283</v>
      </c>
      <c r="K218" s="67">
        <f t="shared" si="182"/>
        <v>9.3176470588235283</v>
      </c>
      <c r="L218" s="67">
        <f t="shared" si="182"/>
        <v>9.3176470588235283</v>
      </c>
      <c r="M218" s="67">
        <f t="shared" si="182"/>
        <v>9.3176470588235283</v>
      </c>
      <c r="N218" s="67">
        <f t="shared" si="182"/>
        <v>9.3176470588235283</v>
      </c>
      <c r="O218" s="67">
        <f t="shared" si="182"/>
        <v>9.3176470588235283</v>
      </c>
      <c r="P218" s="67">
        <f t="shared" si="182"/>
        <v>9.3176470588235283</v>
      </c>
    </row>
    <row r="219" spans="2:16">
      <c r="B219" t="s">
        <v>194</v>
      </c>
      <c r="E219" s="67">
        <f>$E$217*$E$198*$E$201*E199</f>
        <v>6.9882352941176462</v>
      </c>
      <c r="F219" s="67">
        <f>$E$217*$E$198*$E$201*(1-E199)</f>
        <v>6.9882352941176462</v>
      </c>
      <c r="G219" s="67">
        <v>0</v>
      </c>
      <c r="H219" s="67">
        <v>0</v>
      </c>
      <c r="I219" s="67">
        <v>0</v>
      </c>
      <c r="J219" s="67">
        <v>0</v>
      </c>
      <c r="K219" s="67">
        <v>0</v>
      </c>
      <c r="L219" s="67">
        <v>0</v>
      </c>
      <c r="M219" s="67">
        <v>0</v>
      </c>
      <c r="N219" s="67">
        <v>0</v>
      </c>
      <c r="O219" s="67">
        <v>0</v>
      </c>
      <c r="P219" s="67">
        <v>0</v>
      </c>
    </row>
    <row r="220" spans="2:16">
      <c r="B220" t="s">
        <v>21</v>
      </c>
      <c r="E220" s="9">
        <v>0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</v>
      </c>
      <c r="P220" s="9">
        <v>0</v>
      </c>
    </row>
    <row r="221" spans="2:16">
      <c r="B221" s="74" t="s">
        <v>24</v>
      </c>
      <c r="E221" s="78">
        <f>E216-E217+E218-E219</f>
        <v>3.8823529411764701</v>
      </c>
      <c r="F221" s="78">
        <f t="shared" ref="F221:P221" si="183">F216-F217+F218-F219</f>
        <v>8.5411764705882334</v>
      </c>
      <c r="G221" s="78">
        <f t="shared" si="183"/>
        <v>15.52941176470588</v>
      </c>
      <c r="H221" s="78">
        <f t="shared" si="183"/>
        <v>15.52941176470588</v>
      </c>
      <c r="I221" s="78">
        <f t="shared" si="183"/>
        <v>15.52941176470588</v>
      </c>
      <c r="J221" s="78">
        <f t="shared" si="183"/>
        <v>15.52941176470588</v>
      </c>
      <c r="K221" s="78">
        <f t="shared" si="183"/>
        <v>15.52941176470588</v>
      </c>
      <c r="L221" s="78">
        <f t="shared" si="183"/>
        <v>15.52941176470588</v>
      </c>
      <c r="M221" s="78">
        <f t="shared" si="183"/>
        <v>15.52941176470588</v>
      </c>
      <c r="N221" s="78">
        <f t="shared" si="183"/>
        <v>15.52941176470588</v>
      </c>
      <c r="O221" s="78">
        <f t="shared" si="183"/>
        <v>15.52941176470588</v>
      </c>
      <c r="P221" s="78">
        <f t="shared" si="183"/>
        <v>15.52941176470588</v>
      </c>
    </row>
    <row r="222" spans="2:16">
      <c r="B222" t="s">
        <v>25</v>
      </c>
      <c r="E222" s="9">
        <f>E221*$E$204</f>
        <v>1.3588235294117645</v>
      </c>
      <c r="F222" s="9">
        <f>F221*$E$204</f>
        <v>2.9894117647058813</v>
      </c>
      <c r="G222" s="9">
        <f>G221*$E$204</f>
        <v>5.4352941176470582</v>
      </c>
      <c r="H222" s="9">
        <f t="shared" ref="H222:P222" si="184">H221*$E$204</f>
        <v>5.4352941176470582</v>
      </c>
      <c r="I222" s="9">
        <f t="shared" si="184"/>
        <v>5.4352941176470582</v>
      </c>
      <c r="J222" s="9">
        <f t="shared" si="184"/>
        <v>5.4352941176470582</v>
      </c>
      <c r="K222" s="9">
        <f t="shared" si="184"/>
        <v>5.4352941176470582</v>
      </c>
      <c r="L222" s="9">
        <f t="shared" si="184"/>
        <v>5.4352941176470582</v>
      </c>
      <c r="M222" s="9">
        <f t="shared" si="184"/>
        <v>5.4352941176470582</v>
      </c>
      <c r="N222" s="9">
        <f t="shared" si="184"/>
        <v>5.4352941176470582</v>
      </c>
      <c r="O222" s="9">
        <f t="shared" si="184"/>
        <v>5.4352941176470582</v>
      </c>
      <c r="P222" s="9">
        <f t="shared" si="184"/>
        <v>5.4352941176470582</v>
      </c>
    </row>
    <row r="223" spans="2:16">
      <c r="B223" s="74" t="s">
        <v>26</v>
      </c>
      <c r="E223" s="78">
        <f>E221-E222</f>
        <v>2.5235294117647058</v>
      </c>
      <c r="F223" s="78">
        <f t="shared" ref="F223:G223" si="185">F221-F222</f>
        <v>5.551764705882352</v>
      </c>
      <c r="G223" s="78">
        <f t="shared" si="185"/>
        <v>10.094117647058823</v>
      </c>
      <c r="H223" s="78">
        <f t="shared" ref="H223" si="186">H221-H222</f>
        <v>10.094117647058823</v>
      </c>
      <c r="I223" s="78">
        <f t="shared" ref="I223" si="187">I221-I222</f>
        <v>10.094117647058823</v>
      </c>
      <c r="J223" s="78">
        <f t="shared" ref="J223" si="188">J221-J222</f>
        <v>10.094117647058823</v>
      </c>
      <c r="K223" s="78">
        <f t="shared" ref="K223" si="189">K221-K222</f>
        <v>10.094117647058823</v>
      </c>
      <c r="L223" s="78">
        <f t="shared" ref="L223" si="190">L221-L222</f>
        <v>10.094117647058823</v>
      </c>
      <c r="M223" s="78">
        <f t="shared" ref="M223" si="191">M221-M222</f>
        <v>10.094117647058823</v>
      </c>
      <c r="N223" s="78">
        <f t="shared" ref="N223" si="192">N221-N222</f>
        <v>10.094117647058823</v>
      </c>
      <c r="O223" s="78">
        <f t="shared" ref="O223" si="193">O221-O222</f>
        <v>10.094117647058823</v>
      </c>
      <c r="P223" s="78">
        <f t="shared" ref="P223" si="194">P221-P222</f>
        <v>10.094117647058823</v>
      </c>
    </row>
    <row r="224" spans="2:16">
      <c r="B224" t="s">
        <v>74</v>
      </c>
      <c r="E224" s="12">
        <f>Q194+Q193+Q192</f>
        <v>595</v>
      </c>
      <c r="F224" s="12">
        <f>E224</f>
        <v>595</v>
      </c>
      <c r="G224" s="12">
        <f>F224</f>
        <v>595</v>
      </c>
      <c r="H224" s="12">
        <f t="shared" ref="H224:P224" si="195">G224</f>
        <v>595</v>
      </c>
      <c r="I224" s="12">
        <f t="shared" si="195"/>
        <v>595</v>
      </c>
      <c r="J224" s="12">
        <f t="shared" si="195"/>
        <v>595</v>
      </c>
      <c r="K224" s="12">
        <f t="shared" si="195"/>
        <v>595</v>
      </c>
      <c r="L224" s="12">
        <f t="shared" si="195"/>
        <v>595</v>
      </c>
      <c r="M224" s="12">
        <f t="shared" si="195"/>
        <v>595</v>
      </c>
      <c r="N224" s="12">
        <f t="shared" si="195"/>
        <v>595</v>
      </c>
      <c r="O224" s="12">
        <f t="shared" si="195"/>
        <v>595</v>
      </c>
      <c r="P224" s="12">
        <f t="shared" si="195"/>
        <v>595</v>
      </c>
    </row>
    <row r="225" spans="1:16">
      <c r="B225" t="s">
        <v>176</v>
      </c>
      <c r="E225" s="13">
        <f t="shared" ref="E225:P225" si="196">E223/$Q$197</f>
        <v>3.8760915624985884E-3</v>
      </c>
      <c r="F225" s="13">
        <f t="shared" si="196"/>
        <v>8.5274014374968933E-3</v>
      </c>
      <c r="G225" s="13">
        <f t="shared" si="196"/>
        <v>1.5504366249994354E-2</v>
      </c>
      <c r="H225" s="13">
        <f t="shared" si="196"/>
        <v>1.5504366249994354E-2</v>
      </c>
      <c r="I225" s="13">
        <f t="shared" si="196"/>
        <v>1.5504366249994354E-2</v>
      </c>
      <c r="J225" s="13">
        <f t="shared" si="196"/>
        <v>1.5504366249994354E-2</v>
      </c>
      <c r="K225" s="13">
        <f t="shared" si="196"/>
        <v>1.5504366249994354E-2</v>
      </c>
      <c r="L225" s="13">
        <f t="shared" si="196"/>
        <v>1.5504366249994354E-2</v>
      </c>
      <c r="M225" s="13">
        <f t="shared" si="196"/>
        <v>1.5504366249994354E-2</v>
      </c>
      <c r="N225" s="13">
        <f t="shared" si="196"/>
        <v>1.5504366249994354E-2</v>
      </c>
      <c r="O225" s="13">
        <f t="shared" si="196"/>
        <v>1.5504366249994354E-2</v>
      </c>
      <c r="P225" s="13">
        <f t="shared" si="196"/>
        <v>1.5504366249994354E-2</v>
      </c>
    </row>
    <row r="226" spans="1:16">
      <c r="B226" s="35" t="s">
        <v>177</v>
      </c>
      <c r="C226" s="35"/>
      <c r="D226" s="76"/>
      <c r="E226" s="76">
        <f>E223/$E$195</f>
        <v>8.4117647058823533E-2</v>
      </c>
      <c r="F226" s="76">
        <f>F223/$E$195</f>
        <v>0.18505882352941175</v>
      </c>
      <c r="G226" s="76">
        <f>G223/$E$195</f>
        <v>0.33647058823529413</v>
      </c>
      <c r="H226" s="76">
        <f t="shared" ref="H226:P226" si="197">H223/$E$195</f>
        <v>0.33647058823529413</v>
      </c>
      <c r="I226" s="76">
        <f t="shared" si="197"/>
        <v>0.33647058823529413</v>
      </c>
      <c r="J226" s="76">
        <f t="shared" si="197"/>
        <v>0.33647058823529413</v>
      </c>
      <c r="K226" s="76">
        <f t="shared" si="197"/>
        <v>0.33647058823529413</v>
      </c>
      <c r="L226" s="76">
        <f t="shared" si="197"/>
        <v>0.33647058823529413</v>
      </c>
      <c r="M226" s="76">
        <f t="shared" si="197"/>
        <v>0.33647058823529413</v>
      </c>
      <c r="N226" s="76">
        <f t="shared" si="197"/>
        <v>0.33647058823529413</v>
      </c>
      <c r="O226" s="76">
        <f t="shared" si="197"/>
        <v>0.33647058823529413</v>
      </c>
      <c r="P226" s="76">
        <f t="shared" si="197"/>
        <v>0.33647058823529413</v>
      </c>
    </row>
    <row r="228" spans="1:16">
      <c r="A228" s="3" t="s">
        <v>1</v>
      </c>
      <c r="B228" s="20" t="s">
        <v>239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30" spans="1:16">
      <c r="E230" s="5">
        <f>E$3</f>
        <v>41274</v>
      </c>
      <c r="F230" s="5">
        <f>F$3</f>
        <v>41639</v>
      </c>
      <c r="G230" s="5">
        <f t="shared" ref="G230:P230" si="198">G$3</f>
        <v>42004</v>
      </c>
      <c r="H230" s="5">
        <f t="shared" si="198"/>
        <v>42369</v>
      </c>
      <c r="I230" s="5">
        <f t="shared" si="198"/>
        <v>42735</v>
      </c>
      <c r="J230" s="5">
        <f t="shared" si="198"/>
        <v>43100</v>
      </c>
      <c r="K230" s="5">
        <f t="shared" si="198"/>
        <v>43465</v>
      </c>
      <c r="L230" s="5">
        <f t="shared" si="198"/>
        <v>43830</v>
      </c>
      <c r="M230" s="5">
        <f t="shared" si="198"/>
        <v>44196</v>
      </c>
      <c r="N230" s="5">
        <f t="shared" si="198"/>
        <v>44561</v>
      </c>
      <c r="O230" s="5">
        <f t="shared" si="198"/>
        <v>44926</v>
      </c>
      <c r="P230" s="5">
        <f t="shared" si="198"/>
        <v>45291</v>
      </c>
    </row>
    <row r="231" spans="1:16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1:16">
      <c r="B232" s="4" t="s">
        <v>188</v>
      </c>
      <c r="C232" s="7"/>
    </row>
    <row r="233" spans="1:16">
      <c r="B233" t="s">
        <v>189</v>
      </c>
      <c r="C233" s="7"/>
      <c r="F233" s="12">
        <f t="shared" ref="F233:P233" ca="1" si="199">F76</f>
        <v>63.372556012287973</v>
      </c>
      <c r="G233" s="12">
        <f t="shared" ca="1" si="199"/>
        <v>69.329605232602887</v>
      </c>
      <c r="H233" s="12">
        <f t="shared" ca="1" si="199"/>
        <v>73.374371157039462</v>
      </c>
      <c r="I233" s="12">
        <f t="shared" ca="1" si="199"/>
        <v>76.71323454907278</v>
      </c>
      <c r="J233" s="12">
        <f t="shared" ca="1" si="199"/>
        <v>79.499972877937495</v>
      </c>
      <c r="K233" s="12">
        <f t="shared" ca="1" si="199"/>
        <v>81.856344313119791</v>
      </c>
      <c r="L233" s="12">
        <f t="shared" ca="1" si="199"/>
        <v>83.878825480225913</v>
      </c>
      <c r="M233" s="12">
        <f t="shared" ca="1" si="199"/>
        <v>85.64393497348722</v>
      </c>
      <c r="N233" s="12">
        <f t="shared" ca="1" si="199"/>
        <v>87.212439650281397</v>
      </c>
      <c r="O233" s="12">
        <f t="shared" ca="1" si="199"/>
        <v>88.632678359433413</v>
      </c>
      <c r="P233" s="12">
        <f t="shared" ca="1" si="199"/>
        <v>89.943188479988805</v>
      </c>
    </row>
    <row r="234" spans="1:16">
      <c r="B234" t="s">
        <v>190</v>
      </c>
      <c r="C234" s="7"/>
      <c r="F234" s="12">
        <f t="shared" ref="F234:P234" si="200">IFERROR(INDEX($E$213:$P$213,MATCH(F$230,$E$211:$P$211,0)),0)</f>
        <v>0</v>
      </c>
      <c r="G234" s="12">
        <f t="shared" si="200"/>
        <v>0</v>
      </c>
      <c r="H234" s="12">
        <f t="shared" si="200"/>
        <v>21.119999999999997</v>
      </c>
      <c r="I234" s="12">
        <f t="shared" si="200"/>
        <v>21.119999999999997</v>
      </c>
      <c r="J234" s="12">
        <f t="shared" si="200"/>
        <v>21.119999999999997</v>
      </c>
      <c r="K234" s="12">
        <f t="shared" si="200"/>
        <v>21.119999999999997</v>
      </c>
      <c r="L234" s="12">
        <f t="shared" si="200"/>
        <v>21.119999999999997</v>
      </c>
      <c r="M234" s="12">
        <f t="shared" si="200"/>
        <v>21.119999999999997</v>
      </c>
      <c r="N234" s="12">
        <f t="shared" si="200"/>
        <v>21.119999999999997</v>
      </c>
      <c r="O234" s="12">
        <f t="shared" si="200"/>
        <v>21.119999999999997</v>
      </c>
      <c r="P234" s="12">
        <f t="shared" si="200"/>
        <v>21.119999999999997</v>
      </c>
    </row>
    <row r="235" spans="1:16">
      <c r="B235" s="7" t="s">
        <v>159</v>
      </c>
      <c r="C235" s="7"/>
      <c r="F235" s="23">
        <f ca="1">SUM(F233:F234)</f>
        <v>63.372556012287973</v>
      </c>
      <c r="G235" s="23">
        <f t="shared" ref="G235:P235" ca="1" si="201">SUM(G233:G234)</f>
        <v>69.329605232602887</v>
      </c>
      <c r="H235" s="23">
        <f t="shared" ca="1" si="201"/>
        <v>94.494371157039467</v>
      </c>
      <c r="I235" s="23">
        <f t="shared" ca="1" si="201"/>
        <v>97.833234549072785</v>
      </c>
      <c r="J235" s="23">
        <f t="shared" ca="1" si="201"/>
        <v>100.6199728779375</v>
      </c>
      <c r="K235" s="23">
        <f t="shared" ca="1" si="201"/>
        <v>102.9763443131198</v>
      </c>
      <c r="L235" s="23">
        <f t="shared" ca="1" si="201"/>
        <v>104.99882548022592</v>
      </c>
      <c r="M235" s="23">
        <f t="shared" ca="1" si="201"/>
        <v>106.76393497348721</v>
      </c>
      <c r="N235" s="23">
        <f t="shared" ca="1" si="201"/>
        <v>108.3324396502814</v>
      </c>
      <c r="O235" s="23">
        <f t="shared" ca="1" si="201"/>
        <v>109.75267835943342</v>
      </c>
      <c r="P235" s="23">
        <f t="shared" ca="1" si="201"/>
        <v>111.06318847998881</v>
      </c>
    </row>
    <row r="236" spans="1:16">
      <c r="B236" s="7"/>
      <c r="C236" s="7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</row>
    <row r="237" spans="1:16">
      <c r="B237" s="4" t="s">
        <v>83</v>
      </c>
      <c r="C237" s="7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</row>
    <row r="238" spans="1:16">
      <c r="B238" t="s">
        <v>189</v>
      </c>
      <c r="C238" s="7"/>
      <c r="F238" s="12">
        <f t="shared" ref="F238:P238" ca="1" si="202">F77</f>
        <v>15.843139003071993</v>
      </c>
      <c r="G238" s="12">
        <f t="shared" ca="1" si="202"/>
        <v>17.332401308150722</v>
      </c>
      <c r="H238" s="12">
        <f t="shared" ca="1" si="202"/>
        <v>18.343592789259866</v>
      </c>
      <c r="I238" s="12">
        <f t="shared" ca="1" si="202"/>
        <v>19.178308637268195</v>
      </c>
      <c r="J238" s="12">
        <f t="shared" ca="1" si="202"/>
        <v>19.874993219484374</v>
      </c>
      <c r="K238" s="12">
        <f t="shared" ca="1" si="202"/>
        <v>20.464086078279948</v>
      </c>
      <c r="L238" s="12">
        <f t="shared" ca="1" si="202"/>
        <v>20.969706370056478</v>
      </c>
      <c r="M238" s="12">
        <f t="shared" ca="1" si="202"/>
        <v>21.410983743371805</v>
      </c>
      <c r="N238" s="12">
        <f t="shared" ca="1" si="202"/>
        <v>21.803109912570349</v>
      </c>
      <c r="O238" s="12">
        <f t="shared" ca="1" si="202"/>
        <v>22.158169589858353</v>
      </c>
      <c r="P238" s="12">
        <f t="shared" ca="1" si="202"/>
        <v>22.485797119997201</v>
      </c>
    </row>
    <row r="239" spans="1:16">
      <c r="B239" t="s">
        <v>190</v>
      </c>
      <c r="C239" s="7"/>
      <c r="F239" s="12">
        <f t="shared" ref="F239:P239" si="203">IFERROR(INDEX($E$215:$P$215,MATCH(F$230,$E$211:$P$211,0)),0)</f>
        <v>0</v>
      </c>
      <c r="G239" s="12">
        <f t="shared" si="203"/>
        <v>0</v>
      </c>
      <c r="H239" s="12">
        <f t="shared" si="203"/>
        <v>3.7270588235294113</v>
      </c>
      <c r="I239" s="12">
        <f t="shared" si="203"/>
        <v>3.7270588235294113</v>
      </c>
      <c r="J239" s="12">
        <f t="shared" si="203"/>
        <v>3.7270588235294113</v>
      </c>
      <c r="K239" s="12">
        <f t="shared" si="203"/>
        <v>3.7270588235294113</v>
      </c>
      <c r="L239" s="12">
        <f t="shared" si="203"/>
        <v>3.7270588235294113</v>
      </c>
      <c r="M239" s="12">
        <f t="shared" si="203"/>
        <v>3.7270588235294113</v>
      </c>
      <c r="N239" s="12">
        <f t="shared" si="203"/>
        <v>3.7270588235294113</v>
      </c>
      <c r="O239" s="12">
        <f t="shared" si="203"/>
        <v>3.7270588235294113</v>
      </c>
      <c r="P239" s="12">
        <f t="shared" si="203"/>
        <v>3.7270588235294113</v>
      </c>
    </row>
    <row r="240" spans="1:16">
      <c r="B240" s="7" t="s">
        <v>159</v>
      </c>
      <c r="C240" s="7"/>
      <c r="F240" s="23">
        <f ca="1">SUM(F238:F239)</f>
        <v>15.843139003071993</v>
      </c>
      <c r="G240" s="23">
        <f t="shared" ref="G240" ca="1" si="204">SUM(G238:G239)</f>
        <v>17.332401308150722</v>
      </c>
      <c r="H240" s="23">
        <f t="shared" ref="H240" ca="1" si="205">SUM(H238:H239)</f>
        <v>22.070651612789277</v>
      </c>
      <c r="I240" s="23">
        <f t="shared" ref="I240" ca="1" si="206">SUM(I238:I239)</f>
        <v>22.905367460797606</v>
      </c>
      <c r="J240" s="23">
        <f t="shared" ref="J240" ca="1" si="207">SUM(J238:J239)</f>
        <v>23.602052043013785</v>
      </c>
      <c r="K240" s="23">
        <f t="shared" ref="K240" ca="1" si="208">SUM(K238:K239)</f>
        <v>24.191144901809359</v>
      </c>
      <c r="L240" s="23">
        <f t="shared" ref="L240" ca="1" si="209">SUM(L238:L239)</f>
        <v>24.69676519358589</v>
      </c>
      <c r="M240" s="23">
        <f t="shared" ref="M240" ca="1" si="210">SUM(M238:M239)</f>
        <v>25.138042566901216</v>
      </c>
      <c r="N240" s="23">
        <f t="shared" ref="N240" ca="1" si="211">SUM(N238:N239)</f>
        <v>25.53016873609976</v>
      </c>
      <c r="O240" s="23">
        <f t="shared" ref="O240" ca="1" si="212">SUM(O238:O239)</f>
        <v>25.885228413387765</v>
      </c>
      <c r="P240" s="23">
        <f t="shared" ref="P240" ca="1" si="213">SUM(P238:P239)</f>
        <v>26.212855943526613</v>
      </c>
    </row>
    <row r="241" spans="1:16">
      <c r="B241" s="7"/>
      <c r="C241" s="7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</row>
    <row r="242" spans="1:16">
      <c r="B242" s="4" t="s">
        <v>182</v>
      </c>
      <c r="C242" s="7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</row>
    <row r="243" spans="1:16">
      <c r="B243" t="s">
        <v>189</v>
      </c>
      <c r="C243" s="7"/>
      <c r="F243" s="12">
        <f t="shared" ref="F243:P243" ca="1" si="214">F79</f>
        <v>47.529417009215983</v>
      </c>
      <c r="G243" s="12">
        <f t="shared" ca="1" si="214"/>
        <v>51.997203924452165</v>
      </c>
      <c r="H243" s="12">
        <f t="shared" ca="1" si="214"/>
        <v>55.030778367779597</v>
      </c>
      <c r="I243" s="12">
        <f t="shared" ca="1" si="214"/>
        <v>57.534925911804585</v>
      </c>
      <c r="J243" s="12">
        <f t="shared" ca="1" si="214"/>
        <v>59.624979658453114</v>
      </c>
      <c r="K243" s="12">
        <f t="shared" ca="1" si="214"/>
        <v>61.392258234839844</v>
      </c>
      <c r="L243" s="12">
        <f t="shared" ca="1" si="214"/>
        <v>62.909119110169435</v>
      </c>
      <c r="M243" s="12">
        <f t="shared" ca="1" si="214"/>
        <v>64.232951230115404</v>
      </c>
      <c r="N243" s="12">
        <f t="shared" ca="1" si="214"/>
        <v>65.409329737711047</v>
      </c>
      <c r="O243" s="12">
        <f t="shared" ca="1" si="214"/>
        <v>66.474508769575053</v>
      </c>
      <c r="P243" s="12">
        <f t="shared" ca="1" si="214"/>
        <v>67.457391359991604</v>
      </c>
    </row>
    <row r="244" spans="1:16">
      <c r="B244" t="s">
        <v>190</v>
      </c>
      <c r="C244" s="7"/>
      <c r="F244" s="12">
        <f t="shared" ref="F244:P244" si="215">IFERROR(INDEX($E$217:$P$217,MATCH(F$230,$E$211:$P$211,0)),0)</f>
        <v>0</v>
      </c>
      <c r="G244" s="12">
        <f t="shared" si="215"/>
        <v>0</v>
      </c>
      <c r="H244" s="12">
        <f t="shared" si="215"/>
        <v>18.635294117647057</v>
      </c>
      <c r="I244" s="12">
        <f t="shared" si="215"/>
        <v>18.635294117647057</v>
      </c>
      <c r="J244" s="12">
        <f t="shared" si="215"/>
        <v>18.635294117647057</v>
      </c>
      <c r="K244" s="12">
        <f t="shared" si="215"/>
        <v>18.635294117647057</v>
      </c>
      <c r="L244" s="12">
        <f t="shared" si="215"/>
        <v>18.635294117647057</v>
      </c>
      <c r="M244" s="12">
        <f t="shared" si="215"/>
        <v>18.635294117647057</v>
      </c>
      <c r="N244" s="12">
        <f t="shared" si="215"/>
        <v>18.635294117647057</v>
      </c>
      <c r="O244" s="12">
        <f t="shared" si="215"/>
        <v>18.635294117647057</v>
      </c>
      <c r="P244" s="12">
        <f t="shared" si="215"/>
        <v>18.635294117647057</v>
      </c>
    </row>
    <row r="245" spans="1:16">
      <c r="B245" t="s">
        <v>153</v>
      </c>
      <c r="C245" s="7"/>
      <c r="F245" s="12">
        <f t="shared" ref="F245:P245" si="216">-IFERROR(INDEX($E$218:$P$218,MATCH(F$230,$E$211:$P$211,0)),0)</f>
        <v>0</v>
      </c>
      <c r="G245" s="12">
        <f t="shared" si="216"/>
        <v>0</v>
      </c>
      <c r="H245" s="12">
        <f t="shared" si="216"/>
        <v>-4.6588235294117641</v>
      </c>
      <c r="I245" s="12">
        <f t="shared" si="216"/>
        <v>-9.3176470588235283</v>
      </c>
      <c r="J245" s="12">
        <f t="shared" si="216"/>
        <v>-9.3176470588235283</v>
      </c>
      <c r="K245" s="12">
        <f t="shared" si="216"/>
        <v>-9.3176470588235283</v>
      </c>
      <c r="L245" s="12">
        <f t="shared" si="216"/>
        <v>-9.3176470588235283</v>
      </c>
      <c r="M245" s="12">
        <f t="shared" si="216"/>
        <v>-9.3176470588235283</v>
      </c>
      <c r="N245" s="12">
        <f t="shared" si="216"/>
        <v>-9.3176470588235283</v>
      </c>
      <c r="O245" s="12">
        <f t="shared" si="216"/>
        <v>-9.3176470588235283</v>
      </c>
      <c r="P245" s="12">
        <f t="shared" si="216"/>
        <v>-9.3176470588235283</v>
      </c>
    </row>
    <row r="246" spans="1:16">
      <c r="B246" t="s">
        <v>194</v>
      </c>
      <c r="C246" s="7"/>
      <c r="F246" s="12">
        <f t="shared" ref="F246:P246" si="217">IFERROR(INDEX($E$219:$P$219,MATCH(F$230,$E$211:$P$211,0)),0)</f>
        <v>0</v>
      </c>
      <c r="G246" s="12">
        <f t="shared" si="217"/>
        <v>0</v>
      </c>
      <c r="H246" s="12">
        <f t="shared" si="217"/>
        <v>6.9882352941176462</v>
      </c>
      <c r="I246" s="12">
        <f t="shared" si="217"/>
        <v>6.9882352941176462</v>
      </c>
      <c r="J246" s="12">
        <f t="shared" si="217"/>
        <v>0</v>
      </c>
      <c r="K246" s="12">
        <f t="shared" si="217"/>
        <v>0</v>
      </c>
      <c r="L246" s="12">
        <f t="shared" si="217"/>
        <v>0</v>
      </c>
      <c r="M246" s="12">
        <f t="shared" si="217"/>
        <v>0</v>
      </c>
      <c r="N246" s="12">
        <f t="shared" si="217"/>
        <v>0</v>
      </c>
      <c r="O246" s="12">
        <f t="shared" si="217"/>
        <v>0</v>
      </c>
      <c r="P246" s="12">
        <f t="shared" si="217"/>
        <v>0</v>
      </c>
    </row>
    <row r="247" spans="1:16">
      <c r="B247" s="7" t="s">
        <v>159</v>
      </c>
      <c r="C247" s="7"/>
      <c r="F247" s="23">
        <f ca="1">SUM(F243:F245)-F246</f>
        <v>47.529417009215983</v>
      </c>
      <c r="G247" s="23">
        <f t="shared" ref="G247:P247" ca="1" si="218">SUM(G243:G245)-G246</f>
        <v>51.997203924452165</v>
      </c>
      <c r="H247" s="23">
        <f t="shared" ca="1" si="218"/>
        <v>62.019013661897247</v>
      </c>
      <c r="I247" s="23">
        <f t="shared" ca="1" si="218"/>
        <v>59.864337676510473</v>
      </c>
      <c r="J247" s="23">
        <f t="shared" ca="1" si="218"/>
        <v>68.942626717276653</v>
      </c>
      <c r="K247" s="23">
        <f t="shared" ca="1" si="218"/>
        <v>70.709905293663383</v>
      </c>
      <c r="L247" s="23">
        <f t="shared" ca="1" si="218"/>
        <v>72.226766168992967</v>
      </c>
      <c r="M247" s="23">
        <f t="shared" ca="1" si="218"/>
        <v>73.550598288938943</v>
      </c>
      <c r="N247" s="23">
        <f t="shared" ca="1" si="218"/>
        <v>74.726976796534586</v>
      </c>
      <c r="O247" s="23">
        <f t="shared" ca="1" si="218"/>
        <v>75.792155828398592</v>
      </c>
      <c r="P247" s="23">
        <f t="shared" ca="1" si="218"/>
        <v>76.775038418815143</v>
      </c>
    </row>
    <row r="248" spans="1:16">
      <c r="B248" s="7"/>
      <c r="C248" s="7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</row>
    <row r="249" spans="1:16">
      <c r="B249" s="4" t="s">
        <v>26</v>
      </c>
      <c r="C249" s="7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</row>
    <row r="250" spans="1:16">
      <c r="B250" t="s">
        <v>189</v>
      </c>
      <c r="C250" s="7"/>
      <c r="F250" s="12">
        <f t="shared" ref="F250:P250" ca="1" si="219">F84</f>
        <v>20.596080703993593</v>
      </c>
      <c r="G250" s="12">
        <f t="shared" ca="1" si="219"/>
        <v>22.532121700595937</v>
      </c>
      <c r="H250" s="12">
        <f t="shared" ca="1" si="219"/>
        <v>23.846670626037831</v>
      </c>
      <c r="I250" s="12">
        <f t="shared" ca="1" si="219"/>
        <v>24.931801228448659</v>
      </c>
      <c r="J250" s="12">
        <f t="shared" ca="1" si="219"/>
        <v>25.837491185329686</v>
      </c>
      <c r="K250" s="12">
        <f t="shared" ca="1" si="219"/>
        <v>26.603311901763931</v>
      </c>
      <c r="L250" s="12">
        <f t="shared" ca="1" si="219"/>
        <v>27.260618281073427</v>
      </c>
      <c r="M250" s="12">
        <f t="shared" ca="1" si="219"/>
        <v>27.83427886638335</v>
      </c>
      <c r="N250" s="12">
        <f t="shared" ca="1" si="219"/>
        <v>28.344042886341455</v>
      </c>
      <c r="O250" s="12">
        <f t="shared" ca="1" si="219"/>
        <v>28.80562046681586</v>
      </c>
      <c r="P250" s="12">
        <f t="shared" ca="1" si="219"/>
        <v>29.23153625599636</v>
      </c>
    </row>
    <row r="251" spans="1:16">
      <c r="B251" t="s">
        <v>190</v>
      </c>
      <c r="C251" s="7"/>
      <c r="F251" s="12">
        <f t="shared" ref="F251:P251" si="220">IFERROR(INDEX($E$223:$P$223,MATCH(F$230,$E$211:$P$211,0)),0)</f>
        <v>0</v>
      </c>
      <c r="G251" s="12">
        <f t="shared" si="220"/>
        <v>0</v>
      </c>
      <c r="H251" s="12">
        <f t="shared" si="220"/>
        <v>2.5235294117647058</v>
      </c>
      <c r="I251" s="12">
        <f t="shared" si="220"/>
        <v>5.551764705882352</v>
      </c>
      <c r="J251" s="12">
        <f t="shared" si="220"/>
        <v>10.094117647058823</v>
      </c>
      <c r="K251" s="12">
        <f t="shared" si="220"/>
        <v>10.094117647058823</v>
      </c>
      <c r="L251" s="12">
        <f t="shared" si="220"/>
        <v>10.094117647058823</v>
      </c>
      <c r="M251" s="12">
        <f t="shared" si="220"/>
        <v>10.094117647058823</v>
      </c>
      <c r="N251" s="12">
        <f t="shared" si="220"/>
        <v>10.094117647058823</v>
      </c>
      <c r="O251" s="12">
        <f t="shared" si="220"/>
        <v>10.094117647058823</v>
      </c>
      <c r="P251" s="12">
        <f t="shared" si="220"/>
        <v>10.094117647058823</v>
      </c>
    </row>
    <row r="252" spans="1:16">
      <c r="B252" s="7" t="s">
        <v>159</v>
      </c>
      <c r="C252" s="7"/>
      <c r="F252" s="23">
        <f ca="1">SUM(F250:F251)</f>
        <v>20.596080703993593</v>
      </c>
      <c r="G252" s="23">
        <f t="shared" ref="G252" ca="1" si="221">SUM(G250:G251)</f>
        <v>22.532121700595937</v>
      </c>
      <c r="H252" s="23">
        <f t="shared" ref="H252" ca="1" si="222">SUM(H250:H251)</f>
        <v>26.370200037802537</v>
      </c>
      <c r="I252" s="23">
        <f t="shared" ref="I252" ca="1" si="223">SUM(I250:I251)</f>
        <v>30.483565934331011</v>
      </c>
      <c r="J252" s="23">
        <f t="shared" ref="J252" ca="1" si="224">SUM(J250:J251)</f>
        <v>35.931608832388505</v>
      </c>
      <c r="K252" s="23">
        <f t="shared" ref="K252" ca="1" si="225">SUM(K250:K251)</f>
        <v>36.697429548822754</v>
      </c>
      <c r="L252" s="23">
        <f t="shared" ref="L252" ca="1" si="226">SUM(L250:L251)</f>
        <v>37.35473592813225</v>
      </c>
      <c r="M252" s="23">
        <f t="shared" ref="M252" ca="1" si="227">SUM(M250:M251)</f>
        <v>37.928396513442173</v>
      </c>
      <c r="N252" s="23">
        <f t="shared" ref="N252" ca="1" si="228">SUM(N250:N251)</f>
        <v>38.438160533400278</v>
      </c>
      <c r="O252" s="23">
        <f t="shared" ref="O252" ca="1" si="229">SUM(O250:O251)</f>
        <v>38.899738113874683</v>
      </c>
      <c r="P252" s="23">
        <f t="shared" ref="P252" ca="1" si="230">SUM(P250:P251)</f>
        <v>39.325653903055183</v>
      </c>
    </row>
    <row r="254" spans="1:16">
      <c r="A254" s="3" t="s">
        <v>1</v>
      </c>
      <c r="B254" s="20" t="s">
        <v>240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6" spans="1:16">
      <c r="B256" s="4" t="s">
        <v>195</v>
      </c>
    </row>
    <row r="257" spans="2:18">
      <c r="B257" t="s">
        <v>189</v>
      </c>
      <c r="C257" s="7"/>
      <c r="F257" s="12">
        <f>F156</f>
        <v>1836.8753125000001</v>
      </c>
      <c r="G257" s="12">
        <f t="shared" ref="G257:P257" si="231">G156</f>
        <v>2007.3111843750003</v>
      </c>
      <c r="H257" s="12">
        <f t="shared" si="231"/>
        <v>2112.4131731562502</v>
      </c>
      <c r="I257" s="12">
        <f t="shared" si="231"/>
        <v>2196.0064910434376</v>
      </c>
      <c r="J257" s="12">
        <f t="shared" si="231"/>
        <v>2262.6192138593156</v>
      </c>
      <c r="K257" s="12">
        <f t="shared" si="231"/>
        <v>2315.8287466025586</v>
      </c>
      <c r="L257" s="12">
        <f t="shared" si="231"/>
        <v>2358.4614688227948</v>
      </c>
      <c r="M257" s="12">
        <f t="shared" si="231"/>
        <v>2392.7504545569177</v>
      </c>
      <c r="N257" s="12">
        <f t="shared" si="231"/>
        <v>2420.4600711706134</v>
      </c>
      <c r="O257" s="12">
        <f t="shared" si="231"/>
        <v>2442.9844125368454</v>
      </c>
      <c r="P257" s="12">
        <f t="shared" si="231"/>
        <v>2461.4250613424097</v>
      </c>
    </row>
    <row r="258" spans="2:18">
      <c r="B258" t="s">
        <v>190</v>
      </c>
      <c r="C258" s="7"/>
      <c r="F258" s="12">
        <f>IF(E258=0,IF($E$192=F230,$Q$193+$Q$194+$Q$192,0),E258)</f>
        <v>0</v>
      </c>
      <c r="G258" s="12">
        <f t="shared" ref="G258:P258" si="232">IF(F258=0,IF($E$193=G230,$Q$193+$Q$194+$Q$192,0),F258)</f>
        <v>0</v>
      </c>
      <c r="H258" s="12">
        <f t="shared" si="232"/>
        <v>595</v>
      </c>
      <c r="I258" s="12">
        <f t="shared" si="232"/>
        <v>595</v>
      </c>
      <c r="J258" s="12">
        <f t="shared" si="232"/>
        <v>595</v>
      </c>
      <c r="K258" s="12">
        <f t="shared" si="232"/>
        <v>595</v>
      </c>
      <c r="L258" s="12">
        <f t="shared" si="232"/>
        <v>595</v>
      </c>
      <c r="M258" s="12">
        <f t="shared" si="232"/>
        <v>595</v>
      </c>
      <c r="N258" s="12">
        <f t="shared" si="232"/>
        <v>595</v>
      </c>
      <c r="O258" s="12">
        <f t="shared" si="232"/>
        <v>595</v>
      </c>
      <c r="P258" s="12">
        <f t="shared" si="232"/>
        <v>595</v>
      </c>
      <c r="R258" s="80" t="s">
        <v>206</v>
      </c>
    </row>
    <row r="259" spans="2:18">
      <c r="B259" s="7" t="s">
        <v>159</v>
      </c>
      <c r="C259" s="7"/>
      <c r="F259" s="23">
        <f>SUM(F257:F258)</f>
        <v>1836.8753125000001</v>
      </c>
      <c r="G259" s="23">
        <f t="shared" ref="G259" si="233">SUM(G257:G258)</f>
        <v>2007.3111843750003</v>
      </c>
      <c r="H259" s="23">
        <f t="shared" ref="H259" si="234">SUM(H257:H258)</f>
        <v>2707.4131731562502</v>
      </c>
      <c r="I259" s="23">
        <f t="shared" ref="I259" si="235">SUM(I257:I258)</f>
        <v>2791.0064910434376</v>
      </c>
      <c r="J259" s="23">
        <f t="shared" ref="J259" si="236">SUM(J257:J258)</f>
        <v>2857.6192138593156</v>
      </c>
      <c r="K259" s="23">
        <f t="shared" ref="K259" si="237">SUM(K257:K258)</f>
        <v>2910.8287466025586</v>
      </c>
      <c r="L259" s="23">
        <f t="shared" ref="L259" si="238">SUM(L257:L258)</f>
        <v>2953.4614688227948</v>
      </c>
      <c r="M259" s="23">
        <f t="shared" ref="M259" si="239">SUM(M257:M258)</f>
        <v>2987.7504545569177</v>
      </c>
      <c r="N259" s="23">
        <f t="shared" ref="N259" si="240">SUM(N257:N258)</f>
        <v>3015.4600711706134</v>
      </c>
      <c r="O259" s="23">
        <f t="shared" ref="O259" si="241">SUM(O257:O258)</f>
        <v>3037.9844125368454</v>
      </c>
      <c r="P259" s="23">
        <f t="shared" ref="P259" si="242">SUM(P257:P258)</f>
        <v>3056.4250613424097</v>
      </c>
    </row>
    <row r="261" spans="2:18">
      <c r="B261" s="4" t="s">
        <v>92</v>
      </c>
    </row>
    <row r="262" spans="2:18">
      <c r="B262" t="s">
        <v>189</v>
      </c>
      <c r="C262" s="7"/>
      <c r="F262" s="12">
        <f t="shared" ref="F262:P262" si="243">F94</f>
        <v>1444.5025000000001</v>
      </c>
      <c r="G262" s="12">
        <f t="shared" si="243"/>
        <v>1535.1569750000001</v>
      </c>
      <c r="H262" s="12">
        <f t="shared" si="243"/>
        <v>1606.7740102499999</v>
      </c>
      <c r="I262" s="12">
        <f t="shared" si="243"/>
        <v>1663.3514680974999</v>
      </c>
      <c r="J262" s="12">
        <f t="shared" si="243"/>
        <v>1708.0476597970246</v>
      </c>
      <c r="K262" s="12">
        <f t="shared" si="243"/>
        <v>1743.3576512396492</v>
      </c>
      <c r="L262" s="12">
        <f t="shared" si="243"/>
        <v>1771.2525444793228</v>
      </c>
      <c r="M262" s="12">
        <f t="shared" si="243"/>
        <v>1793.2895101386653</v>
      </c>
      <c r="N262" s="12">
        <f t="shared" si="243"/>
        <v>1810.6987130095456</v>
      </c>
      <c r="O262" s="12">
        <f t="shared" si="243"/>
        <v>1824.4519832775411</v>
      </c>
      <c r="P262" s="12">
        <f t="shared" si="243"/>
        <v>1835.3170667892578</v>
      </c>
    </row>
    <row r="263" spans="2:18">
      <c r="B263" t="s">
        <v>190</v>
      </c>
      <c r="C263" s="7"/>
      <c r="F263" s="12">
        <f t="shared" ref="F263:P263" si="244">IF(E263=0,IF($E$193=F230,$Q$197,0),E263)</f>
        <v>0</v>
      </c>
      <c r="G263" s="12">
        <f t="shared" si="244"/>
        <v>0</v>
      </c>
      <c r="H263" s="12">
        <f t="shared" si="244"/>
        <v>651.04999999999995</v>
      </c>
      <c r="I263" s="12">
        <f t="shared" si="244"/>
        <v>651.04999999999995</v>
      </c>
      <c r="J263" s="12">
        <f t="shared" si="244"/>
        <v>651.04999999999995</v>
      </c>
      <c r="K263" s="12">
        <f t="shared" si="244"/>
        <v>651.04999999999995</v>
      </c>
      <c r="L263" s="12">
        <f t="shared" si="244"/>
        <v>651.04999999999995</v>
      </c>
      <c r="M263" s="12">
        <f t="shared" si="244"/>
        <v>651.04999999999995</v>
      </c>
      <c r="N263" s="12">
        <f t="shared" si="244"/>
        <v>651.04999999999995</v>
      </c>
      <c r="O263" s="12">
        <f t="shared" si="244"/>
        <v>651.04999999999995</v>
      </c>
      <c r="P263" s="12">
        <f t="shared" si="244"/>
        <v>651.04999999999995</v>
      </c>
      <c r="R263" s="80" t="s">
        <v>206</v>
      </c>
    </row>
    <row r="264" spans="2:18">
      <c r="B264" s="7" t="s">
        <v>159</v>
      </c>
      <c r="C264" s="7"/>
      <c r="F264" s="23">
        <f>SUM(F262:F263)</f>
        <v>1444.5025000000001</v>
      </c>
      <c r="G264" s="23">
        <f t="shared" ref="G264" si="245">SUM(G262:G263)</f>
        <v>1535.1569750000001</v>
      </c>
      <c r="H264" s="23">
        <f t="shared" ref="H264" si="246">SUM(H262:H263)</f>
        <v>2257.8240102499999</v>
      </c>
      <c r="I264" s="23">
        <f t="shared" ref="I264" si="247">SUM(I262:I263)</f>
        <v>2314.4014680974997</v>
      </c>
      <c r="J264" s="23">
        <f t="shared" ref="J264" si="248">SUM(J262:J263)</f>
        <v>2359.0976597970248</v>
      </c>
      <c r="K264" s="23">
        <f t="shared" ref="K264" si="249">SUM(K262:K263)</f>
        <v>2394.4076512396491</v>
      </c>
      <c r="L264" s="23">
        <f t="shared" ref="L264" si="250">SUM(L262:L263)</f>
        <v>2422.3025444793229</v>
      </c>
      <c r="M264" s="23">
        <f t="shared" ref="M264" si="251">SUM(M262:M263)</f>
        <v>2444.339510138665</v>
      </c>
      <c r="N264" s="23">
        <f t="shared" ref="N264" si="252">SUM(N262:N263)</f>
        <v>2461.7487130095456</v>
      </c>
      <c r="O264" s="23">
        <f t="shared" ref="O264" si="253">SUM(O262:O263)</f>
        <v>2475.5019832775411</v>
      </c>
      <c r="P264" s="23">
        <f t="shared" ref="P264" si="254">SUM(P262:P263)</f>
        <v>2486.3670667892575</v>
      </c>
    </row>
    <row r="266" spans="2:18">
      <c r="B266" s="4" t="s">
        <v>219</v>
      </c>
    </row>
    <row r="267" spans="2:18">
      <c r="B267" t="s">
        <v>191</v>
      </c>
      <c r="F267" s="12">
        <f>F122</f>
        <v>155</v>
      </c>
      <c r="G267" s="12">
        <f ca="1">F274</f>
        <v>168.38745245759586</v>
      </c>
      <c r="H267" s="12">
        <f t="shared" ref="H267:P267" ca="1" si="255">G274</f>
        <v>183.03333156298319</v>
      </c>
      <c r="I267" s="12">
        <f t="shared" ca="1" si="255"/>
        <v>200.17396158755486</v>
      </c>
      <c r="J267" s="12">
        <f t="shared" ca="1" si="255"/>
        <v>219.98827944487002</v>
      </c>
      <c r="K267" s="12">
        <f t="shared" ca="1" si="255"/>
        <v>243.34382518592255</v>
      </c>
      <c r="L267" s="12">
        <f t="shared" ca="1" si="255"/>
        <v>267.1971543926573</v>
      </c>
      <c r="M267" s="12">
        <f t="shared" ca="1" si="255"/>
        <v>291.47773274594323</v>
      </c>
      <c r="N267" s="12">
        <f t="shared" ca="1" si="255"/>
        <v>316.13119047968058</v>
      </c>
      <c r="O267" s="12">
        <f t="shared" ca="1" si="255"/>
        <v>341.11599482639076</v>
      </c>
      <c r="P267" s="12">
        <f t="shared" ca="1" si="255"/>
        <v>366.40082460040929</v>
      </c>
    </row>
    <row r="268" spans="2:18">
      <c r="B268" t="s">
        <v>196</v>
      </c>
      <c r="F268" s="12">
        <f ca="1">F250</f>
        <v>20.596080703993593</v>
      </c>
      <c r="G268" s="12">
        <f t="shared" ref="G268:P269" ca="1" si="256">G250</f>
        <v>22.532121700595937</v>
      </c>
      <c r="H268" s="12">
        <f t="shared" ca="1" si="256"/>
        <v>23.846670626037831</v>
      </c>
      <c r="I268" s="12">
        <f t="shared" ca="1" si="256"/>
        <v>24.931801228448659</v>
      </c>
      <c r="J268" s="12">
        <f t="shared" ca="1" si="256"/>
        <v>25.837491185329686</v>
      </c>
      <c r="K268" s="12">
        <f t="shared" ca="1" si="256"/>
        <v>26.603311901763931</v>
      </c>
      <c r="L268" s="12">
        <f t="shared" ca="1" si="256"/>
        <v>27.260618281073427</v>
      </c>
      <c r="M268" s="12">
        <f t="shared" ca="1" si="256"/>
        <v>27.83427886638335</v>
      </c>
      <c r="N268" s="12">
        <f t="shared" ca="1" si="256"/>
        <v>28.344042886341455</v>
      </c>
      <c r="O268" s="12">
        <f t="shared" ca="1" si="256"/>
        <v>28.80562046681586</v>
      </c>
      <c r="P268" s="12">
        <f t="shared" ca="1" si="256"/>
        <v>29.23153625599636</v>
      </c>
    </row>
    <row r="269" spans="2:18">
      <c r="B269" t="s">
        <v>197</v>
      </c>
      <c r="F269" s="12">
        <f>F251</f>
        <v>0</v>
      </c>
      <c r="G269" s="12">
        <f t="shared" si="256"/>
        <v>0</v>
      </c>
      <c r="H269" s="12">
        <f t="shared" si="256"/>
        <v>2.5235294117647058</v>
      </c>
      <c r="I269" s="12">
        <f t="shared" si="256"/>
        <v>5.551764705882352</v>
      </c>
      <c r="J269" s="12">
        <f t="shared" si="256"/>
        <v>10.094117647058823</v>
      </c>
      <c r="K269" s="12">
        <f t="shared" si="256"/>
        <v>10.094117647058823</v>
      </c>
      <c r="L269" s="12">
        <f t="shared" si="256"/>
        <v>10.094117647058823</v>
      </c>
      <c r="M269" s="12">
        <f t="shared" si="256"/>
        <v>10.094117647058823</v>
      </c>
      <c r="N269" s="12">
        <f t="shared" si="256"/>
        <v>10.094117647058823</v>
      </c>
      <c r="O269" s="12">
        <f t="shared" si="256"/>
        <v>10.094117647058823</v>
      </c>
      <c r="P269" s="12">
        <f t="shared" si="256"/>
        <v>10.094117647058823</v>
      </c>
    </row>
    <row r="270" spans="2:18">
      <c r="B270" t="s">
        <v>198</v>
      </c>
      <c r="F270" s="12">
        <f ca="1">F124</f>
        <v>-7.2086282463977573</v>
      </c>
      <c r="G270" s="12">
        <f t="shared" ref="G270:P270" ca="1" si="257">G124</f>
        <v>-7.8862425952085777</v>
      </c>
      <c r="H270" s="12">
        <f t="shared" ca="1" si="257"/>
        <v>-8.3463347191132407</v>
      </c>
      <c r="I270" s="12">
        <f t="shared" ca="1" si="257"/>
        <v>-8.7261304299570295</v>
      </c>
      <c r="J270" s="12">
        <f t="shared" ca="1" si="257"/>
        <v>-9.0431219148653899</v>
      </c>
      <c r="K270" s="12">
        <f t="shared" ca="1" si="257"/>
        <v>-9.3111591656173758</v>
      </c>
      <c r="L270" s="12">
        <f t="shared" ca="1" si="257"/>
        <v>-9.541216398375699</v>
      </c>
      <c r="M270" s="12">
        <f t="shared" ca="1" si="257"/>
        <v>-9.7419976032341715</v>
      </c>
      <c r="N270" s="12">
        <f t="shared" ca="1" si="257"/>
        <v>-9.920415010219509</v>
      </c>
      <c r="O270" s="12">
        <f t="shared" ca="1" si="257"/>
        <v>-10.081967163385551</v>
      </c>
      <c r="P270" s="12">
        <f t="shared" ca="1" si="257"/>
        <v>-10.231037689598725</v>
      </c>
    </row>
    <row r="271" spans="2:18">
      <c r="B271" t="s">
        <v>199</v>
      </c>
      <c r="F271" s="12">
        <f>-F269*F129</f>
        <v>0</v>
      </c>
      <c r="G271" s="12">
        <f t="shared" ref="G271:P271" si="258">-G269*G129</f>
        <v>0</v>
      </c>
      <c r="H271" s="12">
        <f t="shared" si="258"/>
        <v>-0.88323529411764701</v>
      </c>
      <c r="I271" s="12">
        <f t="shared" si="258"/>
        <v>-1.9431176470588232</v>
      </c>
      <c r="J271" s="12">
        <f t="shared" si="258"/>
        <v>-3.532941176470588</v>
      </c>
      <c r="K271" s="12">
        <f t="shared" si="258"/>
        <v>-3.532941176470588</v>
      </c>
      <c r="L271" s="12">
        <f t="shared" si="258"/>
        <v>-3.532941176470588</v>
      </c>
      <c r="M271" s="12">
        <f t="shared" si="258"/>
        <v>-3.532941176470588</v>
      </c>
      <c r="N271" s="12">
        <f t="shared" si="258"/>
        <v>-3.532941176470588</v>
      </c>
      <c r="O271" s="12">
        <f t="shared" si="258"/>
        <v>-3.532941176470588</v>
      </c>
      <c r="P271" s="12">
        <f t="shared" si="258"/>
        <v>-3.532941176470588</v>
      </c>
      <c r="R271" s="80" t="s">
        <v>200</v>
      </c>
    </row>
    <row r="272" spans="2:18">
      <c r="B272" t="s">
        <v>220</v>
      </c>
      <c r="F272" s="12">
        <f t="shared" ref="F272:P272" si="259">IF(E272=0,IF($E$192=F230,$Q$203,0),E272)</f>
        <v>0</v>
      </c>
      <c r="G272" s="12">
        <f t="shared" si="259"/>
        <v>0</v>
      </c>
      <c r="H272" s="12">
        <f t="shared" si="259"/>
        <v>0</v>
      </c>
      <c r="I272" s="12">
        <f t="shared" si="259"/>
        <v>0</v>
      </c>
      <c r="J272" s="12">
        <f t="shared" si="259"/>
        <v>0</v>
      </c>
      <c r="K272" s="12">
        <f t="shared" si="259"/>
        <v>0</v>
      </c>
      <c r="L272" s="12">
        <f t="shared" si="259"/>
        <v>0</v>
      </c>
      <c r="M272" s="12">
        <f t="shared" si="259"/>
        <v>0</v>
      </c>
      <c r="N272" s="12">
        <f t="shared" si="259"/>
        <v>0</v>
      </c>
      <c r="O272" s="12">
        <f t="shared" si="259"/>
        <v>0</v>
      </c>
      <c r="P272" s="12">
        <f t="shared" si="259"/>
        <v>0</v>
      </c>
    </row>
    <row r="273" spans="2:18">
      <c r="B273" t="s">
        <v>72</v>
      </c>
      <c r="F273" s="12">
        <v>0</v>
      </c>
      <c r="G273" s="12">
        <v>0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>
        <v>0</v>
      </c>
      <c r="O273" s="12">
        <v>0</v>
      </c>
      <c r="P273" s="12">
        <v>0</v>
      </c>
    </row>
    <row r="274" spans="2:18">
      <c r="B274" s="74" t="s">
        <v>201</v>
      </c>
      <c r="F274" s="23">
        <f ca="1">SUM(F267:F273)</f>
        <v>168.38745245759586</v>
      </c>
      <c r="G274" s="23">
        <f t="shared" ref="G274:P274" ca="1" si="260">SUM(G267:G273)</f>
        <v>183.03333156298319</v>
      </c>
      <c r="H274" s="23">
        <f t="shared" ca="1" si="260"/>
        <v>200.17396158755486</v>
      </c>
      <c r="I274" s="23">
        <f t="shared" ca="1" si="260"/>
        <v>219.98827944487002</v>
      </c>
      <c r="J274" s="23">
        <f t="shared" ca="1" si="260"/>
        <v>243.34382518592255</v>
      </c>
      <c r="K274" s="23">
        <f t="shared" ca="1" si="260"/>
        <v>267.1971543926573</v>
      </c>
      <c r="L274" s="23">
        <f t="shared" ca="1" si="260"/>
        <v>291.47773274594323</v>
      </c>
      <c r="M274" s="23">
        <f t="shared" ca="1" si="260"/>
        <v>316.13119047968058</v>
      </c>
      <c r="N274" s="23">
        <f t="shared" ca="1" si="260"/>
        <v>341.11599482639076</v>
      </c>
      <c r="O274" s="23">
        <f t="shared" ca="1" si="260"/>
        <v>366.40082460040929</v>
      </c>
      <c r="P274" s="23">
        <f t="shared" ca="1" si="260"/>
        <v>391.96249963739513</v>
      </c>
    </row>
    <row r="275" spans="2:18">
      <c r="B275" t="s">
        <v>202</v>
      </c>
      <c r="F275" s="81">
        <f>F95+F96</f>
        <v>0</v>
      </c>
      <c r="G275" s="81">
        <f t="shared" ref="G275:P275" si="261">G95+G96</f>
        <v>0</v>
      </c>
      <c r="H275" s="81">
        <f t="shared" si="261"/>
        <v>0</v>
      </c>
      <c r="I275" s="81">
        <f t="shared" si="261"/>
        <v>0</v>
      </c>
      <c r="J275" s="81">
        <f t="shared" si="261"/>
        <v>0</v>
      </c>
      <c r="K275" s="81">
        <f t="shared" si="261"/>
        <v>0</v>
      </c>
      <c r="L275" s="81">
        <f t="shared" si="261"/>
        <v>0</v>
      </c>
      <c r="M275" s="81">
        <f t="shared" si="261"/>
        <v>0</v>
      </c>
      <c r="N275" s="81">
        <f t="shared" si="261"/>
        <v>0</v>
      </c>
      <c r="O275" s="81">
        <f t="shared" si="261"/>
        <v>0</v>
      </c>
      <c r="P275" s="81">
        <f t="shared" si="261"/>
        <v>0</v>
      </c>
    </row>
    <row r="276" spans="2:18">
      <c r="B276" t="s">
        <v>203</v>
      </c>
      <c r="F276" s="12">
        <f t="shared" ref="F276:P276" si="262">IF(E276=0,IF($E$192=F230,$Q$195,0),E276)</f>
        <v>0</v>
      </c>
      <c r="G276" s="12">
        <f t="shared" si="262"/>
        <v>6.05</v>
      </c>
      <c r="H276" s="12">
        <f t="shared" si="262"/>
        <v>6.05</v>
      </c>
      <c r="I276" s="12">
        <f t="shared" si="262"/>
        <v>6.05</v>
      </c>
      <c r="J276" s="12">
        <f t="shared" si="262"/>
        <v>6.05</v>
      </c>
      <c r="K276" s="12">
        <f t="shared" si="262"/>
        <v>6.05</v>
      </c>
      <c r="L276" s="12">
        <f t="shared" si="262"/>
        <v>6.05</v>
      </c>
      <c r="M276" s="12">
        <f t="shared" si="262"/>
        <v>6.05</v>
      </c>
      <c r="N276" s="12">
        <f t="shared" si="262"/>
        <v>6.05</v>
      </c>
      <c r="O276" s="12">
        <f t="shared" si="262"/>
        <v>6.05</v>
      </c>
      <c r="P276" s="12">
        <f t="shared" si="262"/>
        <v>6.05</v>
      </c>
      <c r="R276" s="80" t="s">
        <v>183</v>
      </c>
    </row>
    <row r="277" spans="2:18">
      <c r="B277" s="74" t="s">
        <v>204</v>
      </c>
      <c r="F277" s="23">
        <f ca="1">F274-F275-F276</f>
        <v>168.38745245759586</v>
      </c>
      <c r="G277" s="23">
        <f t="shared" ref="G277:P277" ca="1" si="263">G274-G275-G276</f>
        <v>176.98333156298318</v>
      </c>
      <c r="H277" s="23">
        <f t="shared" ca="1" si="263"/>
        <v>194.12396158755485</v>
      </c>
      <c r="I277" s="23">
        <f t="shared" ca="1" si="263"/>
        <v>213.93827944487001</v>
      </c>
      <c r="J277" s="23">
        <f t="shared" ca="1" si="263"/>
        <v>237.29382518592254</v>
      </c>
      <c r="K277" s="23">
        <f t="shared" ca="1" si="263"/>
        <v>261.14715439265728</v>
      </c>
      <c r="L277" s="23">
        <f t="shared" ca="1" si="263"/>
        <v>285.42773274594322</v>
      </c>
      <c r="M277" s="23">
        <f t="shared" ca="1" si="263"/>
        <v>310.08119047968057</v>
      </c>
      <c r="N277" s="23">
        <f t="shared" ca="1" si="263"/>
        <v>335.06599482639075</v>
      </c>
      <c r="O277" s="23">
        <f t="shared" ca="1" si="263"/>
        <v>360.35082460040928</v>
      </c>
      <c r="P277" s="23">
        <f t="shared" ca="1" si="263"/>
        <v>385.91249963739511</v>
      </c>
    </row>
    <row r="278" spans="2:18">
      <c r="B278" t="s">
        <v>78</v>
      </c>
      <c r="F278" s="29">
        <v>0</v>
      </c>
      <c r="G278" s="12">
        <f ca="1">AVERAGE(F274:G274)</f>
        <v>175.71039201028952</v>
      </c>
      <c r="H278" s="12">
        <f t="shared" ref="H278:P278" ca="1" si="264">AVERAGE(G274:H274)</f>
        <v>191.60364657526901</v>
      </c>
      <c r="I278" s="12">
        <f t="shared" ca="1" si="264"/>
        <v>210.08112051621242</v>
      </c>
      <c r="J278" s="12">
        <f t="shared" ca="1" si="264"/>
        <v>231.66605231539629</v>
      </c>
      <c r="K278" s="12">
        <f t="shared" ca="1" si="264"/>
        <v>255.27048978928991</v>
      </c>
      <c r="L278" s="12">
        <f t="shared" ca="1" si="264"/>
        <v>279.33744356930026</v>
      </c>
      <c r="M278" s="12">
        <f t="shared" ca="1" si="264"/>
        <v>303.80446161281191</v>
      </c>
      <c r="N278" s="12">
        <f t="shared" ca="1" si="264"/>
        <v>328.62359265303564</v>
      </c>
      <c r="O278" s="12">
        <f t="shared" ca="1" si="264"/>
        <v>353.75840971340006</v>
      </c>
      <c r="P278" s="12">
        <f t="shared" ca="1" si="264"/>
        <v>379.18166211890218</v>
      </c>
    </row>
    <row r="279" spans="2:18">
      <c r="B279" t="s">
        <v>77</v>
      </c>
      <c r="F279" s="29">
        <v>0</v>
      </c>
      <c r="G279" s="12">
        <f ca="1">AVERAGE(F277:G277)</f>
        <v>172.68539201028952</v>
      </c>
      <c r="H279" s="12">
        <f t="shared" ref="H279:P279" ca="1" si="265">AVERAGE(G277:H277)</f>
        <v>185.553646575269</v>
      </c>
      <c r="I279" s="12">
        <f t="shared" ca="1" si="265"/>
        <v>204.03112051621241</v>
      </c>
      <c r="J279" s="12">
        <f t="shared" ca="1" si="265"/>
        <v>225.61605231539627</v>
      </c>
      <c r="K279" s="12">
        <f t="shared" ca="1" si="265"/>
        <v>249.2204897892899</v>
      </c>
      <c r="L279" s="12">
        <f t="shared" ca="1" si="265"/>
        <v>273.28744356930025</v>
      </c>
      <c r="M279" s="12">
        <f t="shared" ca="1" si="265"/>
        <v>297.75446161281189</v>
      </c>
      <c r="N279" s="12">
        <f t="shared" ca="1" si="265"/>
        <v>322.57359265303569</v>
      </c>
      <c r="O279" s="12">
        <f t="shared" ca="1" si="265"/>
        <v>347.70840971339999</v>
      </c>
      <c r="P279" s="12">
        <f t="shared" ca="1" si="265"/>
        <v>373.13166211890223</v>
      </c>
    </row>
    <row r="280" spans="2:18">
      <c r="F280" s="81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2:18">
      <c r="B281" s="4" t="s">
        <v>30</v>
      </c>
      <c r="F281" s="81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2:18">
      <c r="B282" t="s">
        <v>189</v>
      </c>
      <c r="F282" s="12">
        <f>F90+F91</f>
        <v>482.25062500000001</v>
      </c>
      <c r="G282" s="12">
        <f t="shared" ref="G282:P282" si="266">G90+G91</f>
        <v>507.33674374999998</v>
      </c>
      <c r="H282" s="12">
        <f t="shared" si="266"/>
        <v>527.71195256250007</v>
      </c>
      <c r="I282" s="12">
        <f t="shared" si="266"/>
        <v>544.37668602437498</v>
      </c>
      <c r="J282" s="12">
        <f t="shared" si="266"/>
        <v>558.12151032925613</v>
      </c>
      <c r="K282" s="12">
        <f t="shared" si="266"/>
        <v>569.57120009751236</v>
      </c>
      <c r="L282" s="12">
        <f t="shared" si="266"/>
        <v>579.21955915318267</v>
      </c>
      <c r="M282" s="12">
        <f t="shared" si="266"/>
        <v>587.45692902868541</v>
      </c>
      <c r="N282" s="12">
        <f t="shared" si="266"/>
        <v>594.59192077628597</v>
      </c>
      <c r="O282" s="12">
        <f t="shared" si="266"/>
        <v>600.86858319376267</v>
      </c>
      <c r="P282" s="12">
        <f t="shared" si="266"/>
        <v>606.47996581917948</v>
      </c>
    </row>
    <row r="283" spans="2:18">
      <c r="B283" t="s">
        <v>190</v>
      </c>
      <c r="F283" s="12">
        <f>IF(E283=0,IF($E$192=F$230,$Q$192+$Q$193,0),E283)</f>
        <v>0</v>
      </c>
      <c r="G283" s="12">
        <f t="shared" ref="G283:P283" si="267">IF(F283=0,IF($E$192=G$230,$Q$192+$Q$193,0),F283)</f>
        <v>120</v>
      </c>
      <c r="H283" s="12">
        <f t="shared" si="267"/>
        <v>120</v>
      </c>
      <c r="I283" s="12">
        <f t="shared" si="267"/>
        <v>120</v>
      </c>
      <c r="J283" s="12">
        <f t="shared" si="267"/>
        <v>120</v>
      </c>
      <c r="K283" s="12">
        <f t="shared" si="267"/>
        <v>120</v>
      </c>
      <c r="L283" s="12">
        <f t="shared" si="267"/>
        <v>120</v>
      </c>
      <c r="M283" s="12">
        <f t="shared" si="267"/>
        <v>120</v>
      </c>
      <c r="N283" s="12">
        <f t="shared" si="267"/>
        <v>120</v>
      </c>
      <c r="O283" s="12">
        <f t="shared" si="267"/>
        <v>120</v>
      </c>
      <c r="P283" s="12">
        <f t="shared" si="267"/>
        <v>120</v>
      </c>
    </row>
    <row r="284" spans="2:18">
      <c r="B284" s="7" t="s">
        <v>159</v>
      </c>
      <c r="F284" s="23">
        <f>SUM(F282:F283)</f>
        <v>482.25062500000001</v>
      </c>
      <c r="G284" s="23">
        <f t="shared" ref="G284" si="268">SUM(G282:G283)</f>
        <v>627.33674374999998</v>
      </c>
      <c r="H284" s="23">
        <f t="shared" ref="H284" si="269">SUM(H282:H283)</f>
        <v>647.71195256250007</v>
      </c>
      <c r="I284" s="23">
        <f t="shared" ref="I284" si="270">SUM(I282:I283)</f>
        <v>664.37668602437498</v>
      </c>
      <c r="J284" s="23">
        <f t="shared" ref="J284" si="271">SUM(J282:J283)</f>
        <v>678.12151032925613</v>
      </c>
      <c r="K284" s="23">
        <f t="shared" ref="K284" si="272">SUM(K282:K283)</f>
        <v>689.57120009751236</v>
      </c>
      <c r="L284" s="23">
        <f t="shared" ref="L284" si="273">SUM(L282:L283)</f>
        <v>699.21955915318267</v>
      </c>
      <c r="M284" s="23">
        <f t="shared" ref="M284" si="274">SUM(M282:M283)</f>
        <v>707.45692902868541</v>
      </c>
      <c r="N284" s="23">
        <f t="shared" ref="N284" si="275">SUM(N282:N283)</f>
        <v>714.59192077628597</v>
      </c>
      <c r="O284" s="23">
        <f t="shared" ref="O284" si="276">SUM(O282:O283)</f>
        <v>720.86858319376267</v>
      </c>
      <c r="P284" s="23">
        <f t="shared" ref="P284" si="277">SUM(P282:P283)</f>
        <v>726.47996581917948</v>
      </c>
    </row>
    <row r="285" spans="2:18">
      <c r="F285" s="81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2:18">
      <c r="B286" s="4" t="s">
        <v>33</v>
      </c>
      <c r="F286" s="81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2:18">
      <c r="B287" t="s">
        <v>189</v>
      </c>
      <c r="F287" s="12">
        <f>F94</f>
        <v>1444.5025000000001</v>
      </c>
      <c r="G287" s="12">
        <f t="shared" ref="G287:P287" si="278">G94</f>
        <v>1535.1569750000001</v>
      </c>
      <c r="H287" s="12">
        <f t="shared" si="278"/>
        <v>1606.7740102499999</v>
      </c>
      <c r="I287" s="12">
        <f t="shared" si="278"/>
        <v>1663.3514680974999</v>
      </c>
      <c r="J287" s="12">
        <f t="shared" si="278"/>
        <v>1708.0476597970246</v>
      </c>
      <c r="K287" s="12">
        <f t="shared" si="278"/>
        <v>1743.3576512396492</v>
      </c>
      <c r="L287" s="12">
        <f t="shared" si="278"/>
        <v>1771.2525444793228</v>
      </c>
      <c r="M287" s="12">
        <f t="shared" si="278"/>
        <v>1793.2895101386653</v>
      </c>
      <c r="N287" s="12">
        <f t="shared" si="278"/>
        <v>1810.6987130095456</v>
      </c>
      <c r="O287" s="12">
        <f t="shared" si="278"/>
        <v>1824.4519832775411</v>
      </c>
      <c r="P287" s="12">
        <f t="shared" si="278"/>
        <v>1835.3170667892578</v>
      </c>
    </row>
    <row r="288" spans="2:18">
      <c r="B288" t="s">
        <v>190</v>
      </c>
      <c r="F288" s="12">
        <f>IF(E288=0,IF($E$192=F$230,$Q$194,0),E288)</f>
        <v>0</v>
      </c>
      <c r="G288" s="12">
        <f t="shared" ref="G288:P288" si="279">IF(F288=0,IF($E$192=G$230,$Q$194,0),F288)</f>
        <v>475</v>
      </c>
      <c r="H288" s="12">
        <f t="shared" si="279"/>
        <v>475</v>
      </c>
      <c r="I288" s="12">
        <f t="shared" si="279"/>
        <v>475</v>
      </c>
      <c r="J288" s="12">
        <f t="shared" si="279"/>
        <v>475</v>
      </c>
      <c r="K288" s="12">
        <f t="shared" si="279"/>
        <v>475</v>
      </c>
      <c r="L288" s="12">
        <f t="shared" si="279"/>
        <v>475</v>
      </c>
      <c r="M288" s="12">
        <f t="shared" si="279"/>
        <v>475</v>
      </c>
      <c r="N288" s="12">
        <f t="shared" si="279"/>
        <v>475</v>
      </c>
      <c r="O288" s="12">
        <f t="shared" si="279"/>
        <v>475</v>
      </c>
      <c r="P288" s="12">
        <f t="shared" si="279"/>
        <v>475</v>
      </c>
    </row>
    <row r="289" spans="2:16">
      <c r="B289" s="7" t="s">
        <v>159</v>
      </c>
      <c r="F289" s="23">
        <f>SUM(F287:F288)</f>
        <v>1444.5025000000001</v>
      </c>
      <c r="G289" s="23">
        <f t="shared" ref="G289" si="280">SUM(G287:G288)</f>
        <v>2010.1569750000001</v>
      </c>
      <c r="H289" s="23">
        <f t="shared" ref="H289" si="281">SUM(H287:H288)</f>
        <v>2081.7740102500002</v>
      </c>
      <c r="I289" s="23">
        <f t="shared" ref="I289" si="282">SUM(I287:I288)</f>
        <v>2138.3514680974999</v>
      </c>
      <c r="J289" s="23">
        <f t="shared" ref="J289" si="283">SUM(J287:J288)</f>
        <v>2183.0476597970246</v>
      </c>
      <c r="K289" s="23">
        <f t="shared" ref="K289" si="284">SUM(K287:K288)</f>
        <v>2218.3576512396494</v>
      </c>
      <c r="L289" s="23">
        <f t="shared" ref="L289" si="285">SUM(L287:L288)</f>
        <v>2246.2525444793228</v>
      </c>
      <c r="M289" s="23">
        <f t="shared" ref="M289" si="286">SUM(M287:M288)</f>
        <v>2268.2895101386653</v>
      </c>
      <c r="N289" s="23">
        <f t="shared" ref="N289" si="287">SUM(N287:N288)</f>
        <v>2285.6987130095458</v>
      </c>
      <c r="O289" s="23">
        <f t="shared" ref="O289" si="288">SUM(O287:O288)</f>
        <v>2299.4519832775413</v>
      </c>
      <c r="P289" s="23">
        <f t="shared" ref="P289" si="289">SUM(P287:P288)</f>
        <v>2310.3170667892578</v>
      </c>
    </row>
    <row r="290" spans="2:16">
      <c r="F290" s="81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2:16">
      <c r="B291" s="4" t="s">
        <v>242</v>
      </c>
      <c r="F291" s="81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2:16">
      <c r="B292" t="s">
        <v>189</v>
      </c>
      <c r="F292" s="12">
        <f>F100</f>
        <v>2028.7531250000002</v>
      </c>
      <c r="G292" s="12">
        <f t="shared" ref="G292:P292" si="290">G100</f>
        <v>2146.5337187499999</v>
      </c>
      <c r="H292" s="12">
        <f t="shared" si="290"/>
        <v>2240.6067628124997</v>
      </c>
      <c r="I292" s="12">
        <f t="shared" si="290"/>
        <v>2315.9713701218748</v>
      </c>
      <c r="J292" s="12">
        <f t="shared" si="290"/>
        <v>2376.5772504462811</v>
      </c>
      <c r="K292" s="12">
        <f t="shared" si="290"/>
        <v>2425.5450932635617</v>
      </c>
      <c r="L292" s="12">
        <f t="shared" si="290"/>
        <v>2465.3406703974333</v>
      </c>
      <c r="M292" s="12">
        <f t="shared" si="290"/>
        <v>2497.9123772675771</v>
      </c>
      <c r="N292" s="12">
        <f t="shared" si="290"/>
        <v>2524.799890648063</v>
      </c>
      <c r="O292" s="12">
        <f t="shared" si="290"/>
        <v>2547.2200084707797</v>
      </c>
      <c r="P292" s="12">
        <f t="shared" si="290"/>
        <v>2566.1344634479024</v>
      </c>
    </row>
    <row r="293" spans="2:16">
      <c r="B293" t="s">
        <v>190</v>
      </c>
      <c r="F293" s="12">
        <f>IF(E293=0,IF($E$192=F$230,$Q$197,0),E293)</f>
        <v>0</v>
      </c>
      <c r="G293" s="12">
        <f t="shared" ref="G293:P293" si="291">IF(F293=0,IF($E$192=G$230,$Q$197,0),F293)</f>
        <v>651.04999999999995</v>
      </c>
      <c r="H293" s="12">
        <f t="shared" si="291"/>
        <v>651.04999999999995</v>
      </c>
      <c r="I293" s="12">
        <f t="shared" si="291"/>
        <v>651.04999999999995</v>
      </c>
      <c r="J293" s="12">
        <f t="shared" si="291"/>
        <v>651.04999999999995</v>
      </c>
      <c r="K293" s="12">
        <f t="shared" si="291"/>
        <v>651.04999999999995</v>
      </c>
      <c r="L293" s="12">
        <f t="shared" si="291"/>
        <v>651.04999999999995</v>
      </c>
      <c r="M293" s="12">
        <f t="shared" si="291"/>
        <v>651.04999999999995</v>
      </c>
      <c r="N293" s="12">
        <f t="shared" si="291"/>
        <v>651.04999999999995</v>
      </c>
      <c r="O293" s="12">
        <f t="shared" si="291"/>
        <v>651.04999999999995</v>
      </c>
      <c r="P293" s="12">
        <f t="shared" si="291"/>
        <v>651.04999999999995</v>
      </c>
    </row>
    <row r="294" spans="2:16">
      <c r="B294" s="7" t="s">
        <v>159</v>
      </c>
      <c r="F294" s="23">
        <f>SUM(F292:F293)</f>
        <v>2028.7531250000002</v>
      </c>
      <c r="G294" s="23">
        <f t="shared" ref="G294:P294" si="292">SUM(G292:G293)</f>
        <v>2797.5837187500001</v>
      </c>
      <c r="H294" s="23">
        <f t="shared" si="292"/>
        <v>2891.6567628124994</v>
      </c>
      <c r="I294" s="23">
        <f t="shared" si="292"/>
        <v>2967.0213701218745</v>
      </c>
      <c r="J294" s="23">
        <f t="shared" si="292"/>
        <v>3027.6272504462813</v>
      </c>
      <c r="K294" s="23">
        <f t="shared" si="292"/>
        <v>3076.5950932635615</v>
      </c>
      <c r="L294" s="23">
        <f t="shared" si="292"/>
        <v>3116.3906703974335</v>
      </c>
      <c r="M294" s="23">
        <f t="shared" si="292"/>
        <v>3148.9623772675768</v>
      </c>
      <c r="N294" s="23">
        <f t="shared" si="292"/>
        <v>3175.8498906480627</v>
      </c>
      <c r="O294" s="23">
        <f t="shared" si="292"/>
        <v>3198.2700084707794</v>
      </c>
      <c r="P294" s="23">
        <f t="shared" si="292"/>
        <v>3217.1844634479021</v>
      </c>
    </row>
    <row r="295" spans="2:16">
      <c r="B295" t="s">
        <v>108</v>
      </c>
      <c r="F295" s="12">
        <f>F294-F275-F276</f>
        <v>2028.7531250000002</v>
      </c>
      <c r="G295" s="12">
        <f t="shared" ref="G295:P295" si="293">G294-G275-G276</f>
        <v>2791.5337187499999</v>
      </c>
      <c r="H295" s="12">
        <f t="shared" si="293"/>
        <v>2885.6067628124993</v>
      </c>
      <c r="I295" s="12">
        <f t="shared" si="293"/>
        <v>2960.9713701218743</v>
      </c>
      <c r="J295" s="12">
        <f t="shared" si="293"/>
        <v>3021.5772504462811</v>
      </c>
      <c r="K295" s="12">
        <f t="shared" si="293"/>
        <v>3070.5450932635613</v>
      </c>
      <c r="L295" s="12">
        <f t="shared" si="293"/>
        <v>3110.3406703974333</v>
      </c>
      <c r="M295" s="12">
        <f t="shared" si="293"/>
        <v>3142.9123772675766</v>
      </c>
      <c r="N295" s="12">
        <f t="shared" si="293"/>
        <v>3169.7998906480625</v>
      </c>
      <c r="O295" s="12">
        <f t="shared" si="293"/>
        <v>3192.2200084707792</v>
      </c>
      <c r="P295" s="12">
        <f t="shared" si="293"/>
        <v>3211.1344634479019</v>
      </c>
    </row>
    <row r="296" spans="2:16">
      <c r="B296" s="7"/>
      <c r="F296" s="81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2:16">
      <c r="B297" s="4" t="s">
        <v>226</v>
      </c>
      <c r="F297" s="81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2:16">
      <c r="B298" t="s">
        <v>189</v>
      </c>
      <c r="F298" s="12">
        <f>F138</f>
        <v>1429.6751249999998</v>
      </c>
      <c r="G298" s="12">
        <f t="shared" ref="G298:P298" si="294">G138</f>
        <v>1514.65609875</v>
      </c>
      <c r="H298" s="12">
        <f t="shared" si="294"/>
        <v>1582.3013230124998</v>
      </c>
      <c r="I298" s="12">
        <f t="shared" si="294"/>
        <v>1636.2615102798748</v>
      </c>
      <c r="J298" s="12">
        <f t="shared" si="294"/>
        <v>1679.4209275231008</v>
      </c>
      <c r="K298" s="12">
        <f t="shared" si="294"/>
        <v>1714.0583538332894</v>
      </c>
      <c r="L298" s="12">
        <f t="shared" si="294"/>
        <v>1741.9742370401395</v>
      </c>
      <c r="M298" s="12">
        <f t="shared" si="294"/>
        <v>1764.5911475237881</v>
      </c>
      <c r="N298" s="12">
        <f t="shared" si="294"/>
        <v>1783.0331368111117</v>
      </c>
      <c r="O298" s="12">
        <f t="shared" si="294"/>
        <v>1798.1884309534441</v>
      </c>
      <c r="P298" s="12">
        <f t="shared" si="294"/>
        <v>1810.7589583833399</v>
      </c>
    </row>
    <row r="299" spans="2:16">
      <c r="B299" t="s">
        <v>190</v>
      </c>
      <c r="F299" s="12">
        <f>IF(E299=0,IF($E$192=F$230,$Q$205,0),E299)</f>
        <v>0</v>
      </c>
      <c r="G299" s="12">
        <f t="shared" ref="G299:P299" si="295">IF(F299=0,IF($E$192=G$230,$Q$205,0),F299)</f>
        <v>520.84</v>
      </c>
      <c r="H299" s="12">
        <f t="shared" si="295"/>
        <v>520.84</v>
      </c>
      <c r="I299" s="12">
        <f t="shared" si="295"/>
        <v>520.84</v>
      </c>
      <c r="J299" s="12">
        <f t="shared" si="295"/>
        <v>520.84</v>
      </c>
      <c r="K299" s="12">
        <f t="shared" si="295"/>
        <v>520.84</v>
      </c>
      <c r="L299" s="12">
        <f t="shared" si="295"/>
        <v>520.84</v>
      </c>
      <c r="M299" s="12">
        <f t="shared" si="295"/>
        <v>520.84</v>
      </c>
      <c r="N299" s="12">
        <f t="shared" si="295"/>
        <v>520.84</v>
      </c>
      <c r="O299" s="12">
        <f t="shared" si="295"/>
        <v>520.84</v>
      </c>
      <c r="P299" s="12">
        <f t="shared" si="295"/>
        <v>520.84</v>
      </c>
    </row>
    <row r="300" spans="2:16">
      <c r="B300" s="7" t="s">
        <v>159</v>
      </c>
      <c r="F300" s="23">
        <f>SUM(F298:F299)</f>
        <v>1429.6751249999998</v>
      </c>
      <c r="G300" s="23">
        <f t="shared" ref="G300" si="296">SUM(G298:G299)</f>
        <v>2035.4960987499999</v>
      </c>
      <c r="H300" s="23">
        <f t="shared" ref="H300" si="297">SUM(H298:H299)</f>
        <v>2103.1413230124999</v>
      </c>
      <c r="I300" s="23">
        <f t="shared" ref="I300" si="298">SUM(I298:I299)</f>
        <v>2157.1015102798747</v>
      </c>
      <c r="J300" s="23">
        <f t="shared" ref="J300" si="299">SUM(J298:J299)</f>
        <v>2200.2609275231007</v>
      </c>
      <c r="K300" s="23">
        <f t="shared" ref="K300" si="300">SUM(K298:K299)</f>
        <v>2234.8983538332895</v>
      </c>
      <c r="L300" s="23">
        <f t="shared" ref="L300" si="301">SUM(L298:L299)</f>
        <v>2262.8142370401397</v>
      </c>
      <c r="M300" s="23">
        <f t="shared" ref="M300" si="302">SUM(M298:M299)</f>
        <v>2285.4311475237882</v>
      </c>
      <c r="N300" s="23">
        <f t="shared" ref="N300" si="303">SUM(N298:N299)</f>
        <v>2303.8731368111116</v>
      </c>
      <c r="O300" s="23">
        <f t="shared" ref="O300" si="304">SUM(O298:O299)</f>
        <v>2319.0284309534441</v>
      </c>
      <c r="P300" s="23">
        <f t="shared" ref="P300" si="305">SUM(P298:P299)</f>
        <v>2331.5989583833398</v>
      </c>
    </row>
    <row r="301" spans="2:16">
      <c r="B301" s="7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</row>
    <row r="302" spans="2:16">
      <c r="B302" s="4" t="s">
        <v>243</v>
      </c>
      <c r="F302" s="81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2:16">
      <c r="B303" t="s">
        <v>189</v>
      </c>
      <c r="F303" s="12">
        <f>F103</f>
        <v>1575</v>
      </c>
      <c r="G303" s="12">
        <f t="shared" ref="G303:P303" si="306">G103</f>
        <v>1653.75</v>
      </c>
      <c r="H303" s="12">
        <f t="shared" si="306"/>
        <v>1736.4375</v>
      </c>
      <c r="I303" s="12">
        <f t="shared" si="306"/>
        <v>1823.2593750000001</v>
      </c>
      <c r="J303" s="12">
        <f t="shared" si="306"/>
        <v>1914.4223437500002</v>
      </c>
      <c r="K303" s="12">
        <f t="shared" si="306"/>
        <v>2010.1434609375003</v>
      </c>
      <c r="L303" s="12">
        <f t="shared" si="306"/>
        <v>2110.6506339843754</v>
      </c>
      <c r="M303" s="12">
        <f t="shared" si="306"/>
        <v>2216.1831656835943</v>
      </c>
      <c r="N303" s="12">
        <f t="shared" si="306"/>
        <v>2326.9923239677742</v>
      </c>
      <c r="O303" s="12">
        <f t="shared" si="306"/>
        <v>2443.3419401661631</v>
      </c>
      <c r="P303" s="12">
        <f t="shared" si="306"/>
        <v>2565.5090371744714</v>
      </c>
    </row>
    <row r="304" spans="2:16">
      <c r="B304" t="s">
        <v>190</v>
      </c>
      <c r="F304" s="12">
        <f>IF(E304=0,IF($E$192=F$230,$Q$199,0),E304)</f>
        <v>0</v>
      </c>
      <c r="G304" s="12">
        <f t="shared" ref="G304:P304" si="307">IF(F304=0,IF($E$192=G$230,$Q$199,0),F304)</f>
        <v>600</v>
      </c>
      <c r="H304" s="12">
        <f t="shared" si="307"/>
        <v>600</v>
      </c>
      <c r="I304" s="12">
        <f t="shared" si="307"/>
        <v>600</v>
      </c>
      <c r="J304" s="12">
        <f t="shared" si="307"/>
        <v>600</v>
      </c>
      <c r="K304" s="12">
        <f t="shared" si="307"/>
        <v>600</v>
      </c>
      <c r="L304" s="12">
        <f t="shared" si="307"/>
        <v>600</v>
      </c>
      <c r="M304" s="12">
        <f t="shared" si="307"/>
        <v>600</v>
      </c>
      <c r="N304" s="12">
        <f t="shared" si="307"/>
        <v>600</v>
      </c>
      <c r="O304" s="12">
        <f t="shared" si="307"/>
        <v>600</v>
      </c>
      <c r="P304" s="12">
        <f t="shared" si="307"/>
        <v>600</v>
      </c>
    </row>
    <row r="305" spans="1:16">
      <c r="B305" s="7" t="s">
        <v>159</v>
      </c>
      <c r="F305" s="23">
        <f>SUM(F303:F304)</f>
        <v>1575</v>
      </c>
      <c r="G305" s="23">
        <f t="shared" ref="G305" si="308">SUM(G303:G304)</f>
        <v>2253.75</v>
      </c>
      <c r="H305" s="23">
        <f t="shared" ref="H305" si="309">SUM(H303:H304)</f>
        <v>2336.4375</v>
      </c>
      <c r="I305" s="23">
        <f t="shared" ref="I305" si="310">SUM(I303:I304)</f>
        <v>2423.2593750000001</v>
      </c>
      <c r="J305" s="23">
        <f t="shared" ref="J305" si="311">SUM(J303:J304)</f>
        <v>2514.4223437500004</v>
      </c>
      <c r="K305" s="23">
        <f t="shared" ref="K305" si="312">SUM(K303:K304)</f>
        <v>2610.1434609375001</v>
      </c>
      <c r="L305" s="23">
        <f t="shared" ref="L305" si="313">SUM(L303:L304)</f>
        <v>2710.6506339843754</v>
      </c>
      <c r="M305" s="23">
        <f t="shared" ref="M305" si="314">SUM(M303:M304)</f>
        <v>2816.1831656835943</v>
      </c>
      <c r="N305" s="23">
        <f t="shared" ref="N305" si="315">SUM(N303:N304)</f>
        <v>2926.9923239677742</v>
      </c>
      <c r="O305" s="23">
        <f t="shared" ref="O305" si="316">SUM(O303:O304)</f>
        <v>3043.3419401661631</v>
      </c>
      <c r="P305" s="23">
        <f t="shared" ref="P305" si="317">SUM(P303:P304)</f>
        <v>3165.5090371744714</v>
      </c>
    </row>
    <row r="306" spans="1:16">
      <c r="F306" s="81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>
      <c r="A307" s="3" t="s">
        <v>1</v>
      </c>
      <c r="B307" s="20" t="s">
        <v>205</v>
      </c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9" spans="1:16">
      <c r="E309" s="5">
        <f>E$3</f>
        <v>41274</v>
      </c>
      <c r="F309" s="5">
        <f>F$3</f>
        <v>41639</v>
      </c>
      <c r="G309" s="5">
        <f t="shared" ref="G309:P309" si="318">G$3</f>
        <v>42004</v>
      </c>
      <c r="H309" s="5">
        <f t="shared" si="318"/>
        <v>42369</v>
      </c>
      <c r="I309" s="5">
        <f t="shared" si="318"/>
        <v>42735</v>
      </c>
      <c r="J309" s="5">
        <f t="shared" si="318"/>
        <v>43100</v>
      </c>
      <c r="K309" s="5">
        <f t="shared" si="318"/>
        <v>43465</v>
      </c>
      <c r="L309" s="5">
        <f t="shared" si="318"/>
        <v>43830</v>
      </c>
      <c r="M309" s="5">
        <f t="shared" si="318"/>
        <v>44196</v>
      </c>
      <c r="N309" s="5">
        <f t="shared" si="318"/>
        <v>44561</v>
      </c>
      <c r="O309" s="5">
        <f t="shared" si="318"/>
        <v>44926</v>
      </c>
      <c r="P309" s="5">
        <f t="shared" si="318"/>
        <v>45291</v>
      </c>
    </row>
    <row r="310" spans="1:16"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>
      <c r="B311" t="s">
        <v>82</v>
      </c>
      <c r="F311" s="13">
        <f ca="1">F235/F259</f>
        <v>3.4500194749766379E-2</v>
      </c>
      <c r="G311" s="13">
        <f t="shared" ref="G311:P311" ca="1" si="319">G235/G259</f>
        <v>3.4538543785471644E-2</v>
      </c>
      <c r="H311" s="13">
        <f t="shared" ca="1" si="319"/>
        <v>3.4902087385088605E-2</v>
      </c>
      <c r="I311" s="13">
        <f t="shared" ca="1" si="319"/>
        <v>3.5053030103307688E-2</v>
      </c>
      <c r="J311" s="13">
        <f t="shared" ca="1" si="319"/>
        <v>3.5211119938561262E-2</v>
      </c>
      <c r="K311" s="13">
        <f t="shared" ca="1" si="319"/>
        <v>3.5376984796275296E-2</v>
      </c>
      <c r="L311" s="13">
        <f t="shared" ca="1" si="319"/>
        <v>3.5551107264682504E-2</v>
      </c>
      <c r="M311" s="13">
        <f t="shared" ca="1" si="319"/>
        <v>3.5733886279107022E-2</v>
      </c>
      <c r="N311" s="13">
        <f t="shared" ca="1" si="319"/>
        <v>3.5925675383997484E-2</v>
      </c>
      <c r="O311" s="13">
        <f t="shared" ca="1" si="319"/>
        <v>3.6126807598655615E-2</v>
      </c>
      <c r="P311" s="13">
        <f t="shared" ca="1" si="319"/>
        <v>3.6337612161578353E-2</v>
      </c>
    </row>
    <row r="312" spans="1:16">
      <c r="B312" t="s">
        <v>83</v>
      </c>
      <c r="F312" s="19">
        <f ca="1">F240/(F240+F235)</f>
        <v>0.19999999999999998</v>
      </c>
      <c r="G312" s="19">
        <f t="shared" ref="G312:P312" ca="1" si="320">G240/(G240+G235)</f>
        <v>0.2</v>
      </c>
      <c r="H312" s="19">
        <f t="shared" ca="1" si="320"/>
        <v>0.18934197487672058</v>
      </c>
      <c r="I312" s="19">
        <f t="shared" ca="1" si="320"/>
        <v>0.18971039153596536</v>
      </c>
      <c r="J312" s="19">
        <f t="shared" ca="1" si="320"/>
        <v>0.1899989318161007</v>
      </c>
      <c r="K312" s="19">
        <f t="shared" ca="1" si="320"/>
        <v>0.19023057741529567</v>
      </c>
      <c r="L312" s="19">
        <f t="shared" ca="1" si="320"/>
        <v>0.19042100865016279</v>
      </c>
      <c r="M312" s="19">
        <f t="shared" ca="1" si="320"/>
        <v>0.19058124097649665</v>
      </c>
      <c r="N312" s="19">
        <f t="shared" ca="1" si="320"/>
        <v>0.19071919368558438</v>
      </c>
      <c r="O312" s="19">
        <f t="shared" ca="1" si="320"/>
        <v>0.19084066563149432</v>
      </c>
      <c r="P312" s="19">
        <f t="shared" ca="1" si="320"/>
        <v>0.19094996547727117</v>
      </c>
    </row>
    <row r="313" spans="1:16">
      <c r="B313" t="s">
        <v>66</v>
      </c>
      <c r="F313" s="19">
        <f ca="1">F247/(F240+F235)</f>
        <v>0.6</v>
      </c>
      <c r="G313" s="19">
        <f t="shared" ref="G313:P313" ca="1" si="321">G247/(G240+G235)</f>
        <v>0.6</v>
      </c>
      <c r="H313" s="19">
        <f t="shared" ca="1" si="321"/>
        <v>0.53205508983909378</v>
      </c>
      <c r="I313" s="19">
        <f t="shared" ca="1" si="321"/>
        <v>0.49581771430164945</v>
      </c>
      <c r="J313" s="19">
        <f t="shared" ca="1" si="321"/>
        <v>0.55499519317245316</v>
      </c>
      <c r="K313" s="19">
        <f t="shared" ca="1" si="321"/>
        <v>0.5560375983688306</v>
      </c>
      <c r="L313" s="19">
        <f t="shared" ca="1" si="321"/>
        <v>0.5568945389257326</v>
      </c>
      <c r="M313" s="19">
        <f t="shared" ca="1" si="321"/>
        <v>0.55761558439423486</v>
      </c>
      <c r="N313" s="19">
        <f t="shared" ca="1" si="321"/>
        <v>0.55823637158512973</v>
      </c>
      <c r="O313" s="19">
        <f t="shared" ca="1" si="321"/>
        <v>0.55878299534172449</v>
      </c>
      <c r="P313" s="19">
        <f t="shared" ca="1" si="321"/>
        <v>0.55927484464772026</v>
      </c>
    </row>
    <row r="314" spans="1:16">
      <c r="B314" t="s">
        <v>85</v>
      </c>
      <c r="F314" s="13">
        <f ca="1">F252/F264</f>
        <v>1.4258252030712022E-2</v>
      </c>
      <c r="G314" s="13">
        <f t="shared" ref="G314:P314" ca="1" si="322">G252/G264</f>
        <v>1.4677405677420015E-2</v>
      </c>
      <c r="H314" s="13">
        <f t="shared" ca="1" si="322"/>
        <v>1.1679475423278305E-2</v>
      </c>
      <c r="I314" s="13">
        <f t="shared" ca="1" si="322"/>
        <v>1.3171252418617468E-2</v>
      </c>
      <c r="J314" s="13">
        <f t="shared" ca="1" si="322"/>
        <v>1.5231081546441802E-2</v>
      </c>
      <c r="K314" s="13">
        <f t="shared" ca="1" si="322"/>
        <v>1.5326308170550453E-2</v>
      </c>
      <c r="L314" s="13">
        <f t="shared" ca="1" si="322"/>
        <v>1.5421168595668423E-2</v>
      </c>
      <c r="M314" s="13">
        <f t="shared" ca="1" si="322"/>
        <v>1.5516828311338196E-2</v>
      </c>
      <c r="N314" s="13">
        <f t="shared" ca="1" si="322"/>
        <v>1.5614169037752324E-2</v>
      </c>
      <c r="O314" s="13">
        <f t="shared" ca="1" si="322"/>
        <v>1.5713878791715531E-2</v>
      </c>
      <c r="P314" s="13">
        <f t="shared" ca="1" si="322"/>
        <v>1.5816511740496118E-2</v>
      </c>
    </row>
    <row r="315" spans="1:16">
      <c r="B315" t="s">
        <v>86</v>
      </c>
      <c r="F315" s="116">
        <f ca="1">F170</f>
        <v>0.12737711712357952</v>
      </c>
      <c r="G315" s="19">
        <f ca="1">G252/G274</f>
        <v>0.12310392597996533</v>
      </c>
      <c r="H315" s="19">
        <f t="shared" ref="H315:P315" ca="1" si="323">H252/H274</f>
        <v>0.13173641480971726</v>
      </c>
      <c r="I315" s="19">
        <f t="shared" ca="1" si="323"/>
        <v>0.13856904563849876</v>
      </c>
      <c r="J315" s="19">
        <f t="shared" ca="1" si="323"/>
        <v>0.14765777929616908</v>
      </c>
      <c r="K315" s="19">
        <f t="shared" ca="1" si="323"/>
        <v>0.13734214210565415</v>
      </c>
      <c r="L315" s="19">
        <f t="shared" ca="1" si="323"/>
        <v>0.12815639663524914</v>
      </c>
      <c r="M315" s="19">
        <f t="shared" ca="1" si="323"/>
        <v>0.11997676172316832</v>
      </c>
      <c r="N315" s="19">
        <f t="shared" ca="1" si="323"/>
        <v>0.11268354787339475</v>
      </c>
      <c r="O315" s="19">
        <f t="shared" ca="1" si="323"/>
        <v>0.1061671685818341</v>
      </c>
      <c r="P315" s="19">
        <f t="shared" ca="1" si="323"/>
        <v>0.10033014367301817</v>
      </c>
    </row>
    <row r="316" spans="1:16">
      <c r="B316" t="s">
        <v>87</v>
      </c>
      <c r="F316" s="116">
        <f ca="1">F171</f>
        <v>0.12737711712357952</v>
      </c>
      <c r="G316" s="19">
        <f ca="1">G252/G277</f>
        <v>0.12731211183340965</v>
      </c>
      <c r="H316" s="19">
        <f t="shared" ref="H316:P316" ca="1" si="324">H252/H277</f>
        <v>0.13584206618361694</v>
      </c>
      <c r="I316" s="19">
        <f t="shared" ca="1" si="324"/>
        <v>0.1424876651968511</v>
      </c>
      <c r="J316" s="19">
        <f t="shared" ca="1" si="324"/>
        <v>0.15142243505171557</v>
      </c>
      <c r="K316" s="19">
        <f t="shared" ca="1" si="324"/>
        <v>0.14052394954932193</v>
      </c>
      <c r="L316" s="19">
        <f t="shared" ca="1" si="324"/>
        <v>0.13087283274390643</v>
      </c>
      <c r="M316" s="19">
        <f t="shared" ca="1" si="324"/>
        <v>0.12231763060109767</v>
      </c>
      <c r="N316" s="19">
        <f t="shared" ca="1" si="324"/>
        <v>0.11471817828997065</v>
      </c>
      <c r="O316" s="19">
        <f t="shared" ca="1" si="324"/>
        <v>0.10794962980037677</v>
      </c>
      <c r="P316" s="19">
        <f t="shared" ca="1" si="324"/>
        <v>0.10190303226769208</v>
      </c>
    </row>
    <row r="317" spans="1:16">
      <c r="G317" s="19"/>
      <c r="H317" s="19"/>
      <c r="I317" s="19"/>
      <c r="J317" s="19"/>
      <c r="K317" s="19"/>
      <c r="L317" s="19"/>
      <c r="M317" s="19"/>
      <c r="N317" s="19"/>
      <c r="O317" s="19"/>
      <c r="P317" s="19"/>
    </row>
    <row r="318" spans="1:16">
      <c r="B318" t="s">
        <v>103</v>
      </c>
      <c r="E318" s="29">
        <v>0</v>
      </c>
      <c r="F318" s="19">
        <f t="shared" ref="F318:P318" ca="1" si="325">F277/F300</f>
        <v>0.11778022119367565</v>
      </c>
      <c r="G318" s="19">
        <f t="shared" ca="1" si="325"/>
        <v>8.6948499518947162E-2</v>
      </c>
      <c r="H318" s="19">
        <f t="shared" ca="1" si="325"/>
        <v>9.2301910225174671E-2</v>
      </c>
      <c r="I318" s="19">
        <f t="shared" ca="1" si="325"/>
        <v>9.9178586832991661E-2</v>
      </c>
      <c r="J318" s="19">
        <f t="shared" ca="1" si="325"/>
        <v>0.10784803848380441</v>
      </c>
      <c r="K318" s="19">
        <f t="shared" ca="1" si="325"/>
        <v>0.11684967861949454</v>
      </c>
      <c r="L318" s="19">
        <f t="shared" ca="1" si="325"/>
        <v>0.12613838470421471</v>
      </c>
      <c r="M318" s="19">
        <f t="shared" ca="1" si="325"/>
        <v>0.13567732758680845</v>
      </c>
      <c r="N318" s="19">
        <f t="shared" ca="1" si="325"/>
        <v>0.14543595715958987</v>
      </c>
      <c r="O318" s="19">
        <f t="shared" ca="1" si="325"/>
        <v>0.15538870493806531</v>
      </c>
      <c r="P318" s="19">
        <f t="shared" ca="1" si="325"/>
        <v>0.16551409849015167</v>
      </c>
    </row>
    <row r="319" spans="1:16">
      <c r="B319" t="s">
        <v>104</v>
      </c>
      <c r="E319" s="29">
        <v>0</v>
      </c>
      <c r="F319" s="19">
        <f t="shared" ref="F319:P319" ca="1" si="326">F277/F300</f>
        <v>0.11778022119367565</v>
      </c>
      <c r="G319" s="19">
        <f t="shared" ca="1" si="326"/>
        <v>8.6948499518947162E-2</v>
      </c>
      <c r="H319" s="19">
        <f t="shared" ca="1" si="326"/>
        <v>9.2301910225174671E-2</v>
      </c>
      <c r="I319" s="19">
        <f t="shared" ca="1" si="326"/>
        <v>9.9178586832991661E-2</v>
      </c>
      <c r="J319" s="19">
        <f t="shared" ca="1" si="326"/>
        <v>0.10784803848380441</v>
      </c>
      <c r="K319" s="19">
        <f t="shared" ca="1" si="326"/>
        <v>0.11684967861949454</v>
      </c>
      <c r="L319" s="19">
        <f t="shared" ca="1" si="326"/>
        <v>0.12613838470421471</v>
      </c>
      <c r="M319" s="19">
        <f t="shared" ca="1" si="326"/>
        <v>0.13567732758680845</v>
      </c>
      <c r="N319" s="19">
        <f t="shared" ca="1" si="326"/>
        <v>0.14543595715958987</v>
      </c>
      <c r="O319" s="19">
        <f t="shared" ca="1" si="326"/>
        <v>0.15538870493806531</v>
      </c>
      <c r="P319" s="19">
        <f t="shared" ca="1" si="326"/>
        <v>0.16551409849015167</v>
      </c>
    </row>
    <row r="320" spans="1:16">
      <c r="B320" t="s">
        <v>105</v>
      </c>
      <c r="E320" s="29">
        <v>0</v>
      </c>
      <c r="F320" s="19">
        <f t="shared" ref="F320:P320" ca="1" si="327">F277/F295</f>
        <v>8.3000464858234466E-2</v>
      </c>
      <c r="G320" s="19">
        <f t="shared" ca="1" si="327"/>
        <v>6.3400033599534389E-2</v>
      </c>
      <c r="H320" s="19">
        <f t="shared" ca="1" si="327"/>
        <v>6.7273186384671849E-2</v>
      </c>
      <c r="I320" s="19">
        <f t="shared" ca="1" si="327"/>
        <v>7.2252734897623905E-2</v>
      </c>
      <c r="J320" s="19">
        <f t="shared" ca="1" si="327"/>
        <v>7.8533098947205365E-2</v>
      </c>
      <c r="K320" s="19">
        <f t="shared" ca="1" si="327"/>
        <v>8.5049118791834535E-2</v>
      </c>
      <c r="L320" s="19">
        <f t="shared" ca="1" si="327"/>
        <v>9.1767353802267526E-2</v>
      </c>
      <c r="M320" s="19">
        <f t="shared" ca="1" si="327"/>
        <v>9.8660463054099756E-2</v>
      </c>
      <c r="N320" s="19">
        <f t="shared" ca="1" si="327"/>
        <v>0.10570572477301929</v>
      </c>
      <c r="O320" s="19">
        <f t="shared" ca="1" si="327"/>
        <v>0.11288408181271753</v>
      </c>
      <c r="P320" s="19">
        <f t="shared" ca="1" si="327"/>
        <v>0.12017948922108607</v>
      </c>
    </row>
    <row r="321" spans="1:16">
      <c r="B321" t="s">
        <v>107</v>
      </c>
      <c r="E321" s="29">
        <v>0</v>
      </c>
      <c r="F321" s="19">
        <f t="shared" ref="F321:P321" ca="1" si="328">F277/F295</f>
        <v>8.3000464858234466E-2</v>
      </c>
      <c r="G321" s="19">
        <f t="shared" ca="1" si="328"/>
        <v>6.3400033599534389E-2</v>
      </c>
      <c r="H321" s="19">
        <f t="shared" ca="1" si="328"/>
        <v>6.7273186384671849E-2</v>
      </c>
      <c r="I321" s="19">
        <f t="shared" ca="1" si="328"/>
        <v>7.2252734897623905E-2</v>
      </c>
      <c r="J321" s="19">
        <f t="shared" ca="1" si="328"/>
        <v>7.8533098947205365E-2</v>
      </c>
      <c r="K321" s="19">
        <f t="shared" ca="1" si="328"/>
        <v>8.5049118791834535E-2</v>
      </c>
      <c r="L321" s="19">
        <f t="shared" ca="1" si="328"/>
        <v>9.1767353802267526E-2</v>
      </c>
      <c r="M321" s="19">
        <f t="shared" ca="1" si="328"/>
        <v>9.8660463054099756E-2</v>
      </c>
      <c r="N321" s="19">
        <f t="shared" ca="1" si="328"/>
        <v>0.10570572477301929</v>
      </c>
      <c r="O321" s="19">
        <f t="shared" ca="1" si="328"/>
        <v>0.11288408181271753</v>
      </c>
      <c r="P321" s="19">
        <f t="shared" ca="1" si="328"/>
        <v>0.12017948922108607</v>
      </c>
    </row>
    <row r="322" spans="1:16">
      <c r="M322" s="7"/>
      <c r="N322" s="4"/>
    </row>
    <row r="323" spans="1:16">
      <c r="B323" s="4" t="s">
        <v>149</v>
      </c>
      <c r="C323" s="4"/>
    </row>
    <row r="324" spans="1:16">
      <c r="A324" s="3" t="s">
        <v>1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6" spans="1:16">
      <c r="B326" s="4" t="s">
        <v>120</v>
      </c>
    </row>
    <row r="327" spans="1:16">
      <c r="B327" s="6" t="s">
        <v>141</v>
      </c>
      <c r="C327" s="6"/>
      <c r="D327" s="6"/>
      <c r="E327" s="33">
        <f>E144</f>
        <v>155</v>
      </c>
    </row>
    <row r="328" spans="1:16">
      <c r="B328" t="s">
        <v>121</v>
      </c>
      <c r="E328" s="34">
        <v>1.1000000000000001</v>
      </c>
    </row>
    <row r="329" spans="1:16">
      <c r="B329" s="36" t="s">
        <v>122</v>
      </c>
      <c r="C329" s="37"/>
      <c r="D329" s="37"/>
      <c r="E329" s="64">
        <f>E327*E328</f>
        <v>170.5</v>
      </c>
    </row>
    <row r="330" spans="1:16">
      <c r="B330" t="s">
        <v>186</v>
      </c>
      <c r="E330" s="86">
        <f ca="1">E329/F337</f>
        <v>8.2782740294341508</v>
      </c>
    </row>
    <row r="331" spans="1:16">
      <c r="B331" t="s">
        <v>127</v>
      </c>
      <c r="E331" s="85">
        <v>2017</v>
      </c>
    </row>
    <row r="332" spans="1:16">
      <c r="B332" s="35" t="s">
        <v>128</v>
      </c>
      <c r="C332" s="35"/>
      <c r="D332" s="35"/>
      <c r="E332" s="39">
        <v>10</v>
      </c>
    </row>
    <row r="334" spans="1:16">
      <c r="E334" s="5">
        <f>E$3</f>
        <v>41274</v>
      </c>
      <c r="F334" s="5">
        <f>F$3</f>
        <v>41639</v>
      </c>
      <c r="G334" s="5">
        <f t="shared" ref="G334:P334" si="329">G$3</f>
        <v>42004</v>
      </c>
      <c r="H334" s="5">
        <f t="shared" si="329"/>
        <v>42369</v>
      </c>
      <c r="I334" s="5">
        <f t="shared" si="329"/>
        <v>42735</v>
      </c>
      <c r="J334" s="5">
        <f t="shared" si="329"/>
        <v>43100</v>
      </c>
      <c r="K334" s="5">
        <f t="shared" si="329"/>
        <v>43465</v>
      </c>
      <c r="L334" s="5">
        <f t="shared" si="329"/>
        <v>43830</v>
      </c>
      <c r="M334" s="5">
        <f t="shared" si="329"/>
        <v>44196</v>
      </c>
      <c r="N334" s="5">
        <f t="shared" si="329"/>
        <v>44561</v>
      </c>
      <c r="O334" s="5">
        <f t="shared" si="329"/>
        <v>44926</v>
      </c>
      <c r="P334" s="5">
        <f t="shared" si="329"/>
        <v>45291</v>
      </c>
    </row>
    <row r="335" spans="1:16"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>
      <c r="B336" s="20" t="s">
        <v>212</v>
      </c>
      <c r="C336" s="20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</row>
    <row r="337" spans="2:16">
      <c r="B337" t="s">
        <v>88</v>
      </c>
      <c r="F337" s="12">
        <f ca="1">F163</f>
        <v>20.596080703993593</v>
      </c>
      <c r="G337" s="12">
        <f t="shared" ref="G337:L337" ca="1" si="330">G163</f>
        <v>22.532121700595937</v>
      </c>
      <c r="H337" s="12">
        <f t="shared" ca="1" si="330"/>
        <v>23.846670626037831</v>
      </c>
      <c r="I337" s="12">
        <f t="shared" ca="1" si="330"/>
        <v>24.931801228448659</v>
      </c>
      <c r="J337" s="12">
        <f t="shared" ca="1" si="330"/>
        <v>25.837491185329686</v>
      </c>
      <c r="K337" s="12">
        <f t="shared" ca="1" si="330"/>
        <v>26.603311901763931</v>
      </c>
      <c r="L337" s="12">
        <f t="shared" ca="1" si="330"/>
        <v>27.260618281073427</v>
      </c>
      <c r="M337" s="12">
        <f ca="1">M163</f>
        <v>27.83427886638335</v>
      </c>
      <c r="N337" s="12">
        <f ca="1">N163</f>
        <v>28.344042886341455</v>
      </c>
      <c r="O337" s="12">
        <f ca="1">O163</f>
        <v>28.80562046681586</v>
      </c>
      <c r="P337" s="12">
        <f ca="1">P163</f>
        <v>29.23153625599636</v>
      </c>
    </row>
    <row r="338" spans="2:16">
      <c r="B338" t="s">
        <v>126</v>
      </c>
      <c r="F338" s="12">
        <f ca="1">F144</f>
        <v>168.38745245759586</v>
      </c>
      <c r="G338" s="12">
        <f t="shared" ref="G338:P338" ca="1" si="331">G144</f>
        <v>183.03333156298319</v>
      </c>
      <c r="H338" s="12">
        <f t="shared" ca="1" si="331"/>
        <v>198.53366746990778</v>
      </c>
      <c r="I338" s="12">
        <f t="shared" ca="1" si="331"/>
        <v>214.73933826839939</v>
      </c>
      <c r="J338" s="12">
        <f t="shared" ca="1" si="331"/>
        <v>231.53370753886369</v>
      </c>
      <c r="K338" s="12">
        <f t="shared" ca="1" si="331"/>
        <v>248.82586027501026</v>
      </c>
      <c r="L338" s="12">
        <f t="shared" ca="1" si="331"/>
        <v>266.54526215770801</v>
      </c>
      <c r="M338" s="12">
        <f t="shared" ca="1" si="331"/>
        <v>284.63754342085718</v>
      </c>
      <c r="N338" s="12">
        <f t="shared" ca="1" si="331"/>
        <v>303.06117129697913</v>
      </c>
      <c r="O338" s="12">
        <f t="shared" ca="1" si="331"/>
        <v>321.78482460040942</v>
      </c>
      <c r="P338" s="12">
        <f t="shared" ca="1" si="331"/>
        <v>340.78532316680702</v>
      </c>
    </row>
    <row r="339" spans="2:16">
      <c r="B339" t="s">
        <v>129</v>
      </c>
      <c r="F339" s="12">
        <f t="shared" ref="F339:O339" ca="1" si="332">G337*$E$332</f>
        <v>225.32121700595937</v>
      </c>
      <c r="G339" s="12">
        <f t="shared" ca="1" si="332"/>
        <v>238.46670626037832</v>
      </c>
      <c r="H339" s="12">
        <f t="shared" ca="1" si="332"/>
        <v>249.3180122844866</v>
      </c>
      <c r="I339" s="12">
        <f t="shared" ca="1" si="332"/>
        <v>258.37491185329685</v>
      </c>
      <c r="J339" s="12">
        <f t="shared" ca="1" si="332"/>
        <v>266.03311901763931</v>
      </c>
      <c r="K339" s="12">
        <f t="shared" ca="1" si="332"/>
        <v>272.60618281073425</v>
      </c>
      <c r="L339" s="12">
        <f t="shared" ca="1" si="332"/>
        <v>278.34278866383352</v>
      </c>
      <c r="M339" s="12">
        <f t="shared" ca="1" si="332"/>
        <v>283.44042886341458</v>
      </c>
      <c r="N339" s="12">
        <f t="shared" ca="1" si="332"/>
        <v>288.05620466815861</v>
      </c>
      <c r="O339" s="12">
        <f t="shared" ca="1" si="332"/>
        <v>292.3153625599636</v>
      </c>
      <c r="P339" s="41">
        <v>0</v>
      </c>
    </row>
    <row r="340" spans="2:16">
      <c r="B340" t="s">
        <v>221</v>
      </c>
      <c r="F340" s="40">
        <f ca="1">F338/G337</f>
        <v>7.4732177774959512</v>
      </c>
      <c r="G340" s="40">
        <f t="shared" ref="G340:O340" ca="1" si="333">G338/H337</f>
        <v>7.6754249862927102</v>
      </c>
      <c r="H340" s="40">
        <f t="shared" ca="1" si="333"/>
        <v>7.9630695612705722</v>
      </c>
      <c r="I340" s="40">
        <f t="shared" ca="1" si="333"/>
        <v>8.3111528409664874</v>
      </c>
      <c r="J340" s="40">
        <f t="shared" ca="1" si="333"/>
        <v>8.7031911061987692</v>
      </c>
      <c r="K340" s="40">
        <f t="shared" ca="1" si="333"/>
        <v>9.1276675279139106</v>
      </c>
      <c r="L340" s="40">
        <f t="shared" ca="1" si="333"/>
        <v>9.5761511709084051</v>
      </c>
      <c r="M340" s="40">
        <f t="shared" ca="1" si="333"/>
        <v>10.042235137811604</v>
      </c>
      <c r="N340" s="40">
        <f t="shared" ca="1" si="333"/>
        <v>10.520904128626782</v>
      </c>
      <c r="O340" s="40">
        <f t="shared" ca="1" si="333"/>
        <v>11.008139352730756</v>
      </c>
      <c r="P340" s="41">
        <v>0</v>
      </c>
    </row>
    <row r="341" spans="2:16">
      <c r="F341" s="40"/>
      <c r="G341" s="40"/>
      <c r="H341" s="40"/>
      <c r="I341" s="40"/>
      <c r="J341" s="40"/>
      <c r="K341" s="40"/>
      <c r="L341" s="40"/>
      <c r="M341" s="40"/>
      <c r="N341" s="40"/>
      <c r="O341" s="40"/>
    </row>
    <row r="342" spans="2:16">
      <c r="B342" s="20" t="s">
        <v>213</v>
      </c>
      <c r="C342" s="20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</row>
    <row r="343" spans="2:16">
      <c r="B343" t="s">
        <v>88</v>
      </c>
      <c r="F343" s="12">
        <f>F251</f>
        <v>0</v>
      </c>
      <c r="G343" s="12">
        <f t="shared" ref="G343:P343" si="334">G251</f>
        <v>0</v>
      </c>
      <c r="H343" s="12">
        <f t="shared" si="334"/>
        <v>2.5235294117647058</v>
      </c>
      <c r="I343" s="12">
        <f t="shared" si="334"/>
        <v>5.551764705882352</v>
      </c>
      <c r="J343" s="12">
        <f t="shared" si="334"/>
        <v>10.094117647058823</v>
      </c>
      <c r="K343" s="12">
        <f t="shared" si="334"/>
        <v>10.094117647058823</v>
      </c>
      <c r="L343" s="12">
        <f t="shared" si="334"/>
        <v>10.094117647058823</v>
      </c>
      <c r="M343" s="12">
        <f t="shared" si="334"/>
        <v>10.094117647058823</v>
      </c>
      <c r="N343" s="12">
        <f t="shared" si="334"/>
        <v>10.094117647058823</v>
      </c>
      <c r="O343" s="12">
        <f t="shared" si="334"/>
        <v>10.094117647058823</v>
      </c>
      <c r="P343" s="12">
        <f t="shared" si="334"/>
        <v>10.094117647058823</v>
      </c>
    </row>
    <row r="344" spans="2:16">
      <c r="B344" t="s">
        <v>129</v>
      </c>
      <c r="F344" s="12">
        <f t="shared" ref="F344:O344" si="335">G343*$E$332</f>
        <v>0</v>
      </c>
      <c r="G344" s="12">
        <f t="shared" si="335"/>
        <v>25.235294117647058</v>
      </c>
      <c r="H344" s="12">
        <f t="shared" si="335"/>
        <v>55.51764705882352</v>
      </c>
      <c r="I344" s="12">
        <f t="shared" si="335"/>
        <v>100.94117647058823</v>
      </c>
      <c r="J344" s="12">
        <f t="shared" si="335"/>
        <v>100.94117647058823</v>
      </c>
      <c r="K344" s="12">
        <f t="shared" si="335"/>
        <v>100.94117647058823</v>
      </c>
      <c r="L344" s="12">
        <f t="shared" si="335"/>
        <v>100.94117647058823</v>
      </c>
      <c r="M344" s="12">
        <f t="shared" si="335"/>
        <v>100.94117647058823</v>
      </c>
      <c r="N344" s="12">
        <f t="shared" si="335"/>
        <v>100.94117647058823</v>
      </c>
      <c r="O344" s="12">
        <f t="shared" si="335"/>
        <v>100.94117647058823</v>
      </c>
      <c r="P344" s="41">
        <v>0</v>
      </c>
    </row>
    <row r="345" spans="2:16"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spans="2:16">
      <c r="B346" s="20" t="s">
        <v>207</v>
      </c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spans="2:16">
      <c r="B347" t="s">
        <v>218</v>
      </c>
      <c r="F347" s="12">
        <f ca="1">F344+F339</f>
        <v>225.32121700595937</v>
      </c>
      <c r="G347" s="12">
        <f t="shared" ref="G347:P347" ca="1" si="336">G344+G339</f>
        <v>263.70200037802539</v>
      </c>
      <c r="H347" s="12">
        <f t="shared" ca="1" si="336"/>
        <v>304.83565934331011</v>
      </c>
      <c r="I347" s="12">
        <f t="shared" ca="1" si="336"/>
        <v>359.31608832388508</v>
      </c>
      <c r="J347" s="12">
        <f t="shared" ca="1" si="336"/>
        <v>366.97429548822754</v>
      </c>
      <c r="K347" s="12">
        <f t="shared" ca="1" si="336"/>
        <v>373.54735928132249</v>
      </c>
      <c r="L347" s="12">
        <f t="shared" ca="1" si="336"/>
        <v>379.28396513442175</v>
      </c>
      <c r="M347" s="12">
        <f t="shared" ca="1" si="336"/>
        <v>384.38160533400281</v>
      </c>
      <c r="N347" s="12">
        <f t="shared" ca="1" si="336"/>
        <v>388.99738113874685</v>
      </c>
      <c r="O347" s="12">
        <f t="shared" ca="1" si="336"/>
        <v>393.25653903055183</v>
      </c>
      <c r="P347" s="12">
        <f t="shared" si="336"/>
        <v>0</v>
      </c>
    </row>
    <row r="348" spans="2:16">
      <c r="B348" t="s">
        <v>126</v>
      </c>
      <c r="F348" s="12">
        <f ca="1">F277</f>
        <v>168.38745245759586</v>
      </c>
      <c r="G348" s="12">
        <f t="shared" ref="G348:P348" ca="1" si="337">G277</f>
        <v>176.98333156298318</v>
      </c>
      <c r="H348" s="12">
        <f t="shared" ca="1" si="337"/>
        <v>194.12396158755485</v>
      </c>
      <c r="I348" s="12">
        <f t="shared" ca="1" si="337"/>
        <v>213.93827944487001</v>
      </c>
      <c r="J348" s="12">
        <f t="shared" ca="1" si="337"/>
        <v>237.29382518592254</v>
      </c>
      <c r="K348" s="12">
        <f t="shared" ca="1" si="337"/>
        <v>261.14715439265728</v>
      </c>
      <c r="L348" s="12">
        <f t="shared" ca="1" si="337"/>
        <v>285.42773274594322</v>
      </c>
      <c r="M348" s="12">
        <f t="shared" ca="1" si="337"/>
        <v>310.08119047968057</v>
      </c>
      <c r="N348" s="12">
        <f t="shared" ca="1" si="337"/>
        <v>335.06599482639075</v>
      </c>
      <c r="O348" s="12">
        <f t="shared" ca="1" si="337"/>
        <v>360.35082460040928</v>
      </c>
      <c r="P348" s="12">
        <f t="shared" ca="1" si="337"/>
        <v>385.91249963739511</v>
      </c>
    </row>
    <row r="349" spans="2:16">
      <c r="B349" t="s">
        <v>131</v>
      </c>
      <c r="F349" s="40">
        <f ca="1">F347/F348</f>
        <v>1.3381116806354729</v>
      </c>
      <c r="G349" s="40">
        <f t="shared" ref="G349:P349" ca="1" si="338">G347/G348</f>
        <v>1.4899821245831932</v>
      </c>
      <c r="H349" s="40">
        <f t="shared" ca="1" si="338"/>
        <v>1.5703144364577655</v>
      </c>
      <c r="I349" s="40">
        <f t="shared" ca="1" si="338"/>
        <v>1.6795315417897321</v>
      </c>
      <c r="J349" s="40">
        <f t="shared" ca="1" si="338"/>
        <v>1.5464974497364135</v>
      </c>
      <c r="K349" s="40">
        <f t="shared" ca="1" si="338"/>
        <v>1.4304094568829258</v>
      </c>
      <c r="L349" s="40">
        <f t="shared" ca="1" si="338"/>
        <v>1.328826605198939</v>
      </c>
      <c r="M349" s="40">
        <f t="shared" ca="1" si="338"/>
        <v>1.2396160010201944</v>
      </c>
      <c r="N349" s="40">
        <f t="shared" ca="1" si="338"/>
        <v>1.1609575043277662</v>
      </c>
      <c r="O349" s="40">
        <f t="shared" ca="1" si="338"/>
        <v>1.0913157739173527</v>
      </c>
      <c r="P349" s="40">
        <f t="shared" ca="1" si="338"/>
        <v>0</v>
      </c>
    </row>
    <row r="350" spans="2:16">
      <c r="B350" t="s">
        <v>221</v>
      </c>
      <c r="F350" s="40">
        <f t="shared" ref="F350:P350" ca="1" si="339">F348/(G343+G337)</f>
        <v>7.4732177774959512</v>
      </c>
      <c r="G350" s="40">
        <f t="shared" ca="1" si="339"/>
        <v>6.7114899132077817</v>
      </c>
      <c r="H350" s="40">
        <f t="shared" ca="1" si="339"/>
        <v>6.3681513509851477</v>
      </c>
      <c r="I350" s="40">
        <f t="shared" ca="1" si="339"/>
        <v>5.9540412020746345</v>
      </c>
      <c r="J350" s="40">
        <f t="shared" ca="1" si="339"/>
        <v>6.4662246948447342</v>
      </c>
      <c r="K350" s="40">
        <f t="shared" ca="1" si="339"/>
        <v>6.991005234117706</v>
      </c>
      <c r="L350" s="40">
        <f t="shared" ca="1" si="339"/>
        <v>7.5254363216959357</v>
      </c>
      <c r="M350" s="40">
        <f t="shared" ca="1" si="339"/>
        <v>8.0670142945638634</v>
      </c>
      <c r="N350" s="40">
        <f t="shared" ca="1" si="339"/>
        <v>8.6135797070284141</v>
      </c>
      <c r="O350" s="40">
        <f t="shared" ca="1" si="339"/>
        <v>9.1632506731798777</v>
      </c>
      <c r="P350" s="40" t="e">
        <f t="shared" ca="1" si="339"/>
        <v>#DIV/0!</v>
      </c>
    </row>
    <row r="352" spans="2:16">
      <c r="B352" s="20" t="s">
        <v>208</v>
      </c>
      <c r="C352" s="20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</row>
    <row r="353" spans="2:16">
      <c r="B353" t="s">
        <v>133</v>
      </c>
      <c r="E353" s="12">
        <f>-E329</f>
        <v>-170.5</v>
      </c>
      <c r="F353" s="12">
        <v>0</v>
      </c>
      <c r="G353" s="12">
        <v>0</v>
      </c>
      <c r="H353" s="12">
        <v>0</v>
      </c>
      <c r="I353" s="12">
        <v>0</v>
      </c>
      <c r="J353" s="12">
        <v>0</v>
      </c>
      <c r="K353" s="12"/>
      <c r="L353" s="12"/>
      <c r="M353" s="12"/>
      <c r="N353" s="12"/>
      <c r="O353" s="12"/>
      <c r="P353" s="41"/>
    </row>
    <row r="354" spans="2:16">
      <c r="B354" t="s">
        <v>69</v>
      </c>
      <c r="E354" s="9">
        <v>0</v>
      </c>
      <c r="F354" s="12">
        <f t="shared" ref="F354:P354" ca="1" si="340">IF(YEAR(F$334)&lt;=$E$331,-F124,0)</f>
        <v>7.2086282463977573</v>
      </c>
      <c r="G354" s="12">
        <f t="shared" ca="1" si="340"/>
        <v>7.8862425952085777</v>
      </c>
      <c r="H354" s="12">
        <f t="shared" ca="1" si="340"/>
        <v>8.3463347191132407</v>
      </c>
      <c r="I354" s="12">
        <f t="shared" ca="1" si="340"/>
        <v>8.7261304299570295</v>
      </c>
      <c r="J354" s="12">
        <f t="shared" ca="1" si="340"/>
        <v>9.0431219148653899</v>
      </c>
      <c r="K354" s="12">
        <f t="shared" si="340"/>
        <v>0</v>
      </c>
      <c r="L354" s="12">
        <f t="shared" si="340"/>
        <v>0</v>
      </c>
      <c r="M354" s="12">
        <f t="shared" si="340"/>
        <v>0</v>
      </c>
      <c r="N354" s="12">
        <f t="shared" si="340"/>
        <v>0</v>
      </c>
      <c r="O354" s="12">
        <f t="shared" si="340"/>
        <v>0</v>
      </c>
      <c r="P354" s="41">
        <f t="shared" si="340"/>
        <v>0</v>
      </c>
    </row>
    <row r="355" spans="2:16">
      <c r="B355" t="s">
        <v>129</v>
      </c>
      <c r="E355" s="9">
        <v>0</v>
      </c>
      <c r="F355" s="12">
        <f t="shared" ref="F355:P355" si="341">IF($E$331=YEAR(F$334),F339,0)</f>
        <v>0</v>
      </c>
      <c r="G355" s="12">
        <f t="shared" si="341"/>
        <v>0</v>
      </c>
      <c r="H355" s="12">
        <f t="shared" si="341"/>
        <v>0</v>
      </c>
      <c r="I355" s="12">
        <f t="shared" si="341"/>
        <v>0</v>
      </c>
      <c r="J355" s="12">
        <f t="shared" ca="1" si="341"/>
        <v>266.03311901763931</v>
      </c>
      <c r="K355" s="12">
        <f t="shared" si="341"/>
        <v>0</v>
      </c>
      <c r="L355" s="12">
        <f t="shared" si="341"/>
        <v>0</v>
      </c>
      <c r="M355" s="12">
        <f t="shared" si="341"/>
        <v>0</v>
      </c>
      <c r="N355" s="12">
        <f t="shared" si="341"/>
        <v>0</v>
      </c>
      <c r="O355" s="12">
        <f t="shared" si="341"/>
        <v>0</v>
      </c>
      <c r="P355" s="41">
        <f t="shared" si="341"/>
        <v>0</v>
      </c>
    </row>
    <row r="356" spans="2:16">
      <c r="B356" s="7" t="s">
        <v>130</v>
      </c>
      <c r="E356" s="23">
        <f>SUM(E353:E355)</f>
        <v>-170.5</v>
      </c>
      <c r="F356" s="23">
        <f t="shared" ref="F356:P356" ca="1" si="342">SUM(F353:F355)</f>
        <v>7.2086282463977573</v>
      </c>
      <c r="G356" s="23">
        <f t="shared" ca="1" si="342"/>
        <v>7.8862425952085777</v>
      </c>
      <c r="H356" s="23">
        <f t="shared" ca="1" si="342"/>
        <v>8.3463347191132407</v>
      </c>
      <c r="I356" s="23">
        <f t="shared" ca="1" si="342"/>
        <v>8.7261304299570295</v>
      </c>
      <c r="J356" s="23">
        <f t="shared" ca="1" si="342"/>
        <v>275.07624093250467</v>
      </c>
      <c r="K356" s="23">
        <f t="shared" si="342"/>
        <v>0</v>
      </c>
      <c r="L356" s="23">
        <f t="shared" si="342"/>
        <v>0</v>
      </c>
      <c r="M356" s="23">
        <f t="shared" si="342"/>
        <v>0</v>
      </c>
      <c r="N356" s="23">
        <f t="shared" si="342"/>
        <v>0</v>
      </c>
      <c r="O356" s="23">
        <f t="shared" si="342"/>
        <v>0</v>
      </c>
      <c r="P356" s="23">
        <f t="shared" si="342"/>
        <v>0</v>
      </c>
    </row>
    <row r="357" spans="2:16">
      <c r="B357" s="44" t="s">
        <v>132</v>
      </c>
      <c r="C357" s="45"/>
      <c r="D357" s="45"/>
      <c r="E357" s="46">
        <f ca="1">XIRR(E356:P356,E334:P334)</f>
        <v>0.1334599077701569</v>
      </c>
    </row>
    <row r="358" spans="2:16">
      <c r="B358" s="47" t="s">
        <v>137</v>
      </c>
      <c r="C358" s="48"/>
      <c r="D358" s="48"/>
      <c r="E358" s="49">
        <f ca="1">SUM(F356:P356)/-E356</f>
        <v>1.802015113918952</v>
      </c>
    </row>
    <row r="360" spans="2:16">
      <c r="B360" s="20" t="s">
        <v>209</v>
      </c>
      <c r="C360" s="20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</row>
    <row r="361" spans="2:16">
      <c r="B361" t="s">
        <v>133</v>
      </c>
      <c r="E361" s="68">
        <f>E353</f>
        <v>-170.5</v>
      </c>
      <c r="F361" s="68">
        <f t="shared" ref="F361:O362" si="343">F353</f>
        <v>0</v>
      </c>
      <c r="G361" s="68">
        <f t="shared" si="343"/>
        <v>0</v>
      </c>
      <c r="H361" s="68">
        <f t="shared" si="343"/>
        <v>0</v>
      </c>
      <c r="I361" s="68">
        <f t="shared" si="343"/>
        <v>0</v>
      </c>
      <c r="J361" s="68">
        <f t="shared" si="343"/>
        <v>0</v>
      </c>
      <c r="K361" s="12">
        <f t="shared" si="343"/>
        <v>0</v>
      </c>
      <c r="L361" s="12">
        <f t="shared" si="343"/>
        <v>0</v>
      </c>
      <c r="M361" s="12">
        <f t="shared" si="343"/>
        <v>0</v>
      </c>
      <c r="N361" s="12">
        <f t="shared" si="343"/>
        <v>0</v>
      </c>
      <c r="O361" s="12">
        <f t="shared" si="343"/>
        <v>0</v>
      </c>
      <c r="P361" s="41">
        <f>IF(YEAR(P$334)&lt;=$E$331,-P131,0)</f>
        <v>0</v>
      </c>
    </row>
    <row r="362" spans="2:16">
      <c r="B362" t="s">
        <v>210</v>
      </c>
      <c r="E362" s="68">
        <f>E354</f>
        <v>0</v>
      </c>
      <c r="F362" s="68">
        <f t="shared" ca="1" si="343"/>
        <v>7.2086282463977573</v>
      </c>
      <c r="G362" s="68">
        <f t="shared" ca="1" si="343"/>
        <v>7.8862425952085777</v>
      </c>
      <c r="H362" s="68">
        <f t="shared" ca="1" si="343"/>
        <v>8.3463347191132407</v>
      </c>
      <c r="I362" s="68">
        <f t="shared" ca="1" si="343"/>
        <v>8.7261304299570295</v>
      </c>
      <c r="J362" s="68">
        <f t="shared" ca="1" si="343"/>
        <v>9.0431219148653899</v>
      </c>
      <c r="K362" s="12">
        <f t="shared" si="343"/>
        <v>0</v>
      </c>
      <c r="L362" s="12">
        <f t="shared" si="343"/>
        <v>0</v>
      </c>
      <c r="M362" s="12">
        <f t="shared" si="343"/>
        <v>0</v>
      </c>
      <c r="N362" s="12">
        <f t="shared" si="343"/>
        <v>0</v>
      </c>
      <c r="O362" s="12">
        <f t="shared" si="343"/>
        <v>0</v>
      </c>
      <c r="P362" s="41">
        <f>IF(YEAR(P$334)&lt;=$E$331,-P132,0)</f>
        <v>0</v>
      </c>
    </row>
    <row r="363" spans="2:16">
      <c r="B363" t="s">
        <v>211</v>
      </c>
      <c r="E363" s="10">
        <v>0</v>
      </c>
      <c r="F363" s="68">
        <f>IF(YEAR(F$334)&lt;=$E$331,-F271,0)</f>
        <v>0</v>
      </c>
      <c r="G363" s="68">
        <f t="shared" ref="G363:J363" si="344">IF(YEAR(G$334)&lt;=$E$331,-G271,0)</f>
        <v>0</v>
      </c>
      <c r="H363" s="68">
        <f t="shared" si="344"/>
        <v>0.88323529411764701</v>
      </c>
      <c r="I363" s="68">
        <f t="shared" si="344"/>
        <v>1.9431176470588232</v>
      </c>
      <c r="J363" s="68">
        <f t="shared" si="344"/>
        <v>3.532941176470588</v>
      </c>
      <c r="K363" s="12">
        <f>IF(YEAR(K$334)&lt;=$E$331,-L271,0)</f>
        <v>0</v>
      </c>
      <c r="L363" s="12">
        <f>IF(YEAR(L$334)&lt;=$E$331,-M271,0)</f>
        <v>0</v>
      </c>
      <c r="M363" s="12">
        <f>IF(YEAR(M$334)&lt;=$E$331,-N271,0)</f>
        <v>0</v>
      </c>
      <c r="N363" s="12">
        <f>IF(YEAR(N$334)&lt;=$E$331,-O271,0)</f>
        <v>0</v>
      </c>
      <c r="O363" s="12">
        <f>IF(YEAR(O$334)&lt;=$E$331,-P271,0)</f>
        <v>0</v>
      </c>
      <c r="P363" s="41">
        <f>IF(YEAR(P$334)&lt;=$E$331,-P133,0)</f>
        <v>0</v>
      </c>
    </row>
    <row r="364" spans="2:16">
      <c r="B364" t="s">
        <v>212</v>
      </c>
      <c r="E364" s="10">
        <f>E355</f>
        <v>0</v>
      </c>
      <c r="F364" s="10">
        <f t="shared" ref="F364:O364" si="345">F355</f>
        <v>0</v>
      </c>
      <c r="G364" s="10">
        <f t="shared" si="345"/>
        <v>0</v>
      </c>
      <c r="H364" s="10">
        <f t="shared" si="345"/>
        <v>0</v>
      </c>
      <c r="I364" s="10">
        <f t="shared" si="345"/>
        <v>0</v>
      </c>
      <c r="J364" s="10">
        <f t="shared" ca="1" si="345"/>
        <v>266.03311901763931</v>
      </c>
      <c r="K364" s="9">
        <f t="shared" si="345"/>
        <v>0</v>
      </c>
      <c r="L364" s="9">
        <f t="shared" si="345"/>
        <v>0</v>
      </c>
      <c r="M364" s="9">
        <f t="shared" si="345"/>
        <v>0</v>
      </c>
      <c r="N364" s="9">
        <f t="shared" si="345"/>
        <v>0</v>
      </c>
      <c r="O364" s="9">
        <f t="shared" si="345"/>
        <v>0</v>
      </c>
      <c r="P364" s="41">
        <f>IF(YEAR(P$334)&lt;=$E$331,-P134,0)</f>
        <v>0</v>
      </c>
    </row>
    <row r="365" spans="2:16">
      <c r="B365" t="s">
        <v>213</v>
      </c>
      <c r="E365" s="10">
        <v>0</v>
      </c>
      <c r="F365" s="68">
        <f t="shared" ref="F365:O365" si="346">IF($E$331=YEAR(F$334),F344,0)</f>
        <v>0</v>
      </c>
      <c r="G365" s="68">
        <f t="shared" si="346"/>
        <v>0</v>
      </c>
      <c r="H365" s="68">
        <f t="shared" si="346"/>
        <v>0</v>
      </c>
      <c r="I365" s="68">
        <f t="shared" si="346"/>
        <v>0</v>
      </c>
      <c r="J365" s="68">
        <f t="shared" si="346"/>
        <v>100.94117647058823</v>
      </c>
      <c r="K365" s="12">
        <f t="shared" si="346"/>
        <v>0</v>
      </c>
      <c r="L365" s="12">
        <f t="shared" si="346"/>
        <v>0</v>
      </c>
      <c r="M365" s="12">
        <f t="shared" si="346"/>
        <v>0</v>
      </c>
      <c r="N365" s="12">
        <f t="shared" si="346"/>
        <v>0</v>
      </c>
      <c r="O365" s="12">
        <f t="shared" si="346"/>
        <v>0</v>
      </c>
      <c r="P365" s="41">
        <f>IF(YEAR(P$334)&lt;=$E$331,-P135,0)</f>
        <v>0</v>
      </c>
    </row>
    <row r="366" spans="2:16">
      <c r="B366" s="7" t="s">
        <v>130</v>
      </c>
      <c r="E366" s="24">
        <f t="shared" ref="E366" si="347">SUM(E361:E365)</f>
        <v>-170.5</v>
      </c>
      <c r="F366" s="24">
        <f t="shared" ref="F366" ca="1" si="348">SUM(F361:F365)</f>
        <v>7.2086282463977573</v>
      </c>
      <c r="G366" s="24">
        <f t="shared" ref="G366" ca="1" si="349">SUM(G361:G365)</f>
        <v>7.8862425952085777</v>
      </c>
      <c r="H366" s="24">
        <f t="shared" ref="H366" ca="1" si="350">SUM(H361:H365)</f>
        <v>9.2295700132308873</v>
      </c>
      <c r="I366" s="24">
        <f t="shared" ref="I366" ca="1" si="351">SUM(I361:I365)</f>
        <v>10.669248077015853</v>
      </c>
      <c r="J366" s="24">
        <f t="shared" ref="J366" ca="1" si="352">SUM(J361:J365)</f>
        <v>379.55035857956352</v>
      </c>
      <c r="K366" s="24">
        <f t="shared" ref="K366" si="353">SUM(K361:K365)</f>
        <v>0</v>
      </c>
      <c r="L366" s="24">
        <f t="shared" ref="L366" si="354">SUM(L361:L365)</f>
        <v>0</v>
      </c>
      <c r="M366" s="24">
        <f t="shared" ref="M366" si="355">SUM(M361:M365)</f>
        <v>0</v>
      </c>
      <c r="N366" s="24">
        <f t="shared" ref="N366" si="356">SUM(N361:N365)</f>
        <v>0</v>
      </c>
      <c r="O366" s="24">
        <f t="shared" ref="O366" si="357">SUM(O361:O365)</f>
        <v>0</v>
      </c>
      <c r="P366" s="24">
        <f t="shared" ref="P366" si="358">SUM(P361:P365)</f>
        <v>0</v>
      </c>
    </row>
    <row r="367" spans="2:16">
      <c r="B367" s="44" t="s">
        <v>132</v>
      </c>
      <c r="C367" s="45"/>
      <c r="D367" s="45"/>
      <c r="E367" s="46">
        <f ca="1">XIRR(E366:P366,E334:P334)</f>
        <v>0.20585184693336489</v>
      </c>
    </row>
    <row r="368" spans="2:16">
      <c r="B368" s="47" t="s">
        <v>137</v>
      </c>
      <c r="C368" s="48"/>
      <c r="D368" s="48"/>
      <c r="E368" s="49">
        <f ca="1">SUM(F366:P366)/-E366</f>
        <v>2.4313433871637335</v>
      </c>
    </row>
    <row r="371" spans="1:16">
      <c r="A371" s="3" t="s">
        <v>1</v>
      </c>
      <c r="B371" s="20" t="s">
        <v>144</v>
      </c>
      <c r="C371" s="20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</row>
    <row r="373" spans="1:16">
      <c r="D373" s="55" t="s">
        <v>214</v>
      </c>
      <c r="E373" s="56"/>
      <c r="F373" s="56"/>
      <c r="G373" s="56"/>
      <c r="H373" s="56"/>
      <c r="I373" s="56"/>
      <c r="K373" s="55" t="s">
        <v>216</v>
      </c>
      <c r="L373" s="56"/>
      <c r="M373" s="56"/>
      <c r="N373" s="56"/>
      <c r="O373" s="56"/>
      <c r="P373" s="56"/>
    </row>
    <row r="374" spans="1:16">
      <c r="D374" s="50" t="s">
        <v>127</v>
      </c>
      <c r="E374" s="50"/>
      <c r="F374" s="50"/>
      <c r="G374" s="50"/>
      <c r="H374" s="50"/>
      <c r="I374" s="50"/>
      <c r="K374" s="50" t="s">
        <v>127</v>
      </c>
      <c r="L374" s="50"/>
      <c r="M374" s="50"/>
      <c r="N374" s="50"/>
      <c r="O374" s="50"/>
      <c r="P374" s="50"/>
    </row>
    <row r="375" spans="1:16">
      <c r="C375" s="58">
        <f ca="1">$E$357</f>
        <v>0.1334599077701569</v>
      </c>
      <c r="D375" s="51">
        <v>2015</v>
      </c>
      <c r="E375" s="51">
        <f>D375+1</f>
        <v>2016</v>
      </c>
      <c r="F375" s="51">
        <f t="shared" ref="F375:I375" si="359">E375+1</f>
        <v>2017</v>
      </c>
      <c r="G375" s="51">
        <f t="shared" si="359"/>
        <v>2018</v>
      </c>
      <c r="H375" s="51">
        <f t="shared" si="359"/>
        <v>2019</v>
      </c>
      <c r="I375" s="51">
        <f t="shared" si="359"/>
        <v>2020</v>
      </c>
      <c r="J375" s="58">
        <f ca="1">E367</f>
        <v>0.20585184693336489</v>
      </c>
      <c r="K375" s="88">
        <f>D375</f>
        <v>2015</v>
      </c>
      <c r="L375" s="88">
        <f t="shared" ref="L375:P375" si="360">E375</f>
        <v>2016</v>
      </c>
      <c r="M375" s="88">
        <f t="shared" si="360"/>
        <v>2017</v>
      </c>
      <c r="N375" s="88">
        <f t="shared" si="360"/>
        <v>2018</v>
      </c>
      <c r="O375" s="88">
        <f t="shared" si="360"/>
        <v>2019</v>
      </c>
      <c r="P375" s="88">
        <f t="shared" si="360"/>
        <v>2020</v>
      </c>
    </row>
    <row r="376" spans="1:16">
      <c r="C376" s="120">
        <f ca="1">$J$340</f>
        <v>8.7031911061987692</v>
      </c>
      <c r="D376" s="53">
        <f t="dataTable" ref="D376:I381" dt2D="1" dtr="1" r1="E331" r2="E332" ca="1"/>
        <v>0.12590627074241639</v>
      </c>
      <c r="E376" s="38">
        <v>0.11399312615394594</v>
      </c>
      <c r="F376" s="38">
        <v>0.10571286082267761</v>
      </c>
      <c r="G376" s="38">
        <v>9.9474567174911516E-2</v>
      </c>
      <c r="H376" s="38">
        <v>9.4576129317283625E-2</v>
      </c>
      <c r="I376" s="38">
        <v>9.0596917271614077E-2</v>
      </c>
      <c r="J376" s="120">
        <f ca="1">$J$350</f>
        <v>6.4662246948447342</v>
      </c>
      <c r="K376" s="53">
        <f t="dataTable" ref="K376:P381" dt2D="1" dtr="1" r1="E331" r2="E332" ca="1"/>
        <v>9.460460245609284E-2</v>
      </c>
      <c r="L376" s="38">
        <v>0.12549329400062562</v>
      </c>
      <c r="M376" s="38">
        <v>0.11615083813667298</v>
      </c>
      <c r="N376" s="38">
        <v>0.10951660275459293</v>
      </c>
      <c r="O376" s="38">
        <v>0.10452427268028261</v>
      </c>
      <c r="P376" s="38">
        <v>0.10059252381324768</v>
      </c>
    </row>
    <row r="377" spans="1:16">
      <c r="C377" s="52">
        <v>9</v>
      </c>
      <c r="D377" s="54">
        <v>0.1376339375972748</v>
      </c>
      <c r="E377" s="19">
        <v>0.12249972224235534</v>
      </c>
      <c r="F377" s="19">
        <v>0.11232102513313294</v>
      </c>
      <c r="G377" s="19">
        <v>0.10483035445213321</v>
      </c>
      <c r="H377" s="19">
        <v>9.9044984579086309E-2</v>
      </c>
      <c r="I377" s="19">
        <v>9.4404181838035575E-2</v>
      </c>
      <c r="J377" s="87">
        <f t="shared" ref="J377:J381" si="361">C377</f>
        <v>9</v>
      </c>
      <c r="K377" s="54">
        <v>0.21224438548088076</v>
      </c>
      <c r="L377" s="19">
        <v>0.213364177942276</v>
      </c>
      <c r="M377" s="19">
        <v>0.18322873711586005</v>
      </c>
      <c r="N377" s="19">
        <v>0.16316456198692322</v>
      </c>
      <c r="O377" s="19">
        <v>0.1487995803356171</v>
      </c>
      <c r="P377" s="19">
        <v>0.13795241713523862</v>
      </c>
    </row>
    <row r="378" spans="1:16">
      <c r="B378" s="4" t="s">
        <v>146</v>
      </c>
      <c r="C378" s="52">
        <v>10</v>
      </c>
      <c r="D378" s="54">
        <v>0.17542858719825752</v>
      </c>
      <c r="E378" s="19">
        <v>0.1497806489467621</v>
      </c>
      <c r="F378" s="19">
        <v>0.1334599077701569</v>
      </c>
      <c r="G378" s="19">
        <v>0.12193941473960876</v>
      </c>
      <c r="H378" s="19">
        <v>0.11331053376197814</v>
      </c>
      <c r="I378" s="19">
        <v>0.10655414462089541</v>
      </c>
      <c r="J378" s="87">
        <f t="shared" si="361"/>
        <v>10</v>
      </c>
      <c r="K378" s="54">
        <v>0.2528109014034271</v>
      </c>
      <c r="L378" s="19">
        <v>0.24320217967033389</v>
      </c>
      <c r="M378" s="19">
        <v>0.20585184693336489</v>
      </c>
      <c r="N378" s="19">
        <v>0.18119599223136906</v>
      </c>
      <c r="O378" s="19">
        <v>0.16365850567817691</v>
      </c>
      <c r="P378" s="19">
        <v>0.15048698782920836</v>
      </c>
    </row>
    <row r="379" spans="1:16">
      <c r="B379" s="4" t="s">
        <v>145</v>
      </c>
      <c r="C379" s="52">
        <v>11</v>
      </c>
      <c r="D379" s="54">
        <v>0.21088593602180483</v>
      </c>
      <c r="E379" s="19">
        <v>0.17519391179084781</v>
      </c>
      <c r="F379" s="19">
        <v>0.15307844281196598</v>
      </c>
      <c r="G379" s="19">
        <v>0.13778535723686219</v>
      </c>
      <c r="H379" s="19">
        <v>0.12650843262672429</v>
      </c>
      <c r="I379" s="19">
        <v>0.11778916716575621</v>
      </c>
      <c r="J379" s="87">
        <f t="shared" si="361"/>
        <v>11</v>
      </c>
      <c r="K379" s="54">
        <v>0.29085724949836733</v>
      </c>
      <c r="L379" s="19">
        <v>0.27098247408866882</v>
      </c>
      <c r="M379" s="19">
        <v>0.22684357762336732</v>
      </c>
      <c r="N379" s="19">
        <v>0.19789711833000184</v>
      </c>
      <c r="O379" s="19">
        <v>0.17740909457206727</v>
      </c>
      <c r="P379" s="19">
        <v>0.16208305954933169</v>
      </c>
    </row>
    <row r="380" spans="1:16">
      <c r="C380" s="52">
        <v>12</v>
      </c>
      <c r="D380" s="54">
        <v>0.24433757662773131</v>
      </c>
      <c r="E380" s="19">
        <v>0.19901404976844791</v>
      </c>
      <c r="F380" s="19">
        <v>0.17140361666679382</v>
      </c>
      <c r="G380" s="19">
        <v>0.15255796313285824</v>
      </c>
      <c r="H380" s="19">
        <v>0.13879923224449156</v>
      </c>
      <c r="I380" s="19">
        <v>0.12824650406837465</v>
      </c>
      <c r="J380" s="87">
        <f t="shared" si="361"/>
        <v>12</v>
      </c>
      <c r="K380" s="54">
        <v>0.32674235701560983</v>
      </c>
      <c r="L380" s="19">
        <v>0.29700939059257514</v>
      </c>
      <c r="M380" s="19">
        <v>0.24644798636436463</v>
      </c>
      <c r="N380" s="19">
        <v>0.21346766352653507</v>
      </c>
      <c r="O380" s="19">
        <v>0.19021753668785094</v>
      </c>
      <c r="P380" s="19">
        <v>0.17288075089454649</v>
      </c>
    </row>
    <row r="381" spans="1:16">
      <c r="C381" s="52">
        <f t="shared" ref="C381" si="362">C380+1</f>
        <v>13</v>
      </c>
      <c r="D381" s="54">
        <v>0.27604562640190133</v>
      </c>
      <c r="E381" s="19">
        <v>0.22145692706108089</v>
      </c>
      <c r="F381" s="19">
        <v>0.18861359953880311</v>
      </c>
      <c r="G381" s="19">
        <v>0.16640613675117497</v>
      </c>
      <c r="H381" s="19">
        <v>0.15030898451805116</v>
      </c>
      <c r="I381" s="19">
        <v>0.13803405165672303</v>
      </c>
      <c r="J381" s="87">
        <f t="shared" si="361"/>
        <v>13</v>
      </c>
      <c r="K381" s="54">
        <v>0.36074970364570613</v>
      </c>
      <c r="L381" s="19">
        <v>0.32152191996574409</v>
      </c>
      <c r="M381" s="19">
        <v>0.2648565709590911</v>
      </c>
      <c r="N381" s="19">
        <v>0.22806435227394106</v>
      </c>
      <c r="O381" s="19">
        <v>0.20221440196037291</v>
      </c>
      <c r="P381" s="19">
        <v>0.18299034237861636</v>
      </c>
    </row>
    <row r="383" spans="1:16">
      <c r="D383" s="55" t="s">
        <v>215</v>
      </c>
      <c r="E383" s="56"/>
      <c r="F383" s="56"/>
      <c r="G383" s="56"/>
      <c r="H383" s="56"/>
      <c r="I383" s="56"/>
      <c r="K383" s="55" t="s">
        <v>217</v>
      </c>
      <c r="L383" s="56"/>
      <c r="M383" s="56"/>
      <c r="N383" s="56"/>
      <c r="O383" s="56"/>
      <c r="P383" s="56"/>
    </row>
    <row r="384" spans="1:16">
      <c r="D384" s="50" t="s">
        <v>127</v>
      </c>
      <c r="E384" s="50"/>
      <c r="F384" s="50"/>
      <c r="G384" s="50"/>
      <c r="H384" s="50"/>
      <c r="I384" s="50"/>
      <c r="K384" s="50" t="s">
        <v>127</v>
      </c>
      <c r="L384" s="50"/>
      <c r="M384" s="50"/>
      <c r="N384" s="50"/>
      <c r="O384" s="50"/>
      <c r="P384" s="50"/>
    </row>
    <row r="385" spans="1:16">
      <c r="C385" s="57">
        <f ca="1">$E$358</f>
        <v>1.802015113918952</v>
      </c>
      <c r="D385" s="51">
        <v>2015</v>
      </c>
      <c r="E385" s="51">
        <f>D385+1</f>
        <v>2016</v>
      </c>
      <c r="F385" s="51">
        <f t="shared" ref="F385:I385" si="363">E385+1</f>
        <v>2017</v>
      </c>
      <c r="G385" s="51">
        <f t="shared" si="363"/>
        <v>2018</v>
      </c>
      <c r="H385" s="51">
        <f t="shared" si="363"/>
        <v>2019</v>
      </c>
      <c r="I385" s="51">
        <f t="shared" si="363"/>
        <v>2020</v>
      </c>
      <c r="J385" s="57">
        <f ca="1">E368</f>
        <v>2.4313433871637335</v>
      </c>
      <c r="K385" s="88">
        <f>D385</f>
        <v>2015</v>
      </c>
      <c r="L385" s="88">
        <f t="shared" ref="L385" si="364">E385</f>
        <v>2016</v>
      </c>
      <c r="M385" s="88">
        <f t="shared" ref="M385" si="365">F385</f>
        <v>2017</v>
      </c>
      <c r="N385" s="88">
        <f t="shared" ref="N385" si="366">G385</f>
        <v>2018</v>
      </c>
      <c r="O385" s="88">
        <f t="shared" ref="O385" si="367">H385</f>
        <v>2019</v>
      </c>
      <c r="P385" s="88">
        <f t="shared" ref="P385" si="368">I385</f>
        <v>2020</v>
      </c>
    </row>
    <row r="386" spans="1:16">
      <c r="C386" s="120">
        <f ca="1">$J$340</f>
        <v>8.7031911061987692</v>
      </c>
      <c r="D386" s="59">
        <f t="dataTable" ref="D386:I391" dt2D="1" dtr="1" r1="E331" r2="E332" ca="1"/>
        <v>1.4101315910479149</v>
      </c>
      <c r="E386" s="60">
        <v>1.5075422843479591</v>
      </c>
      <c r="F386" s="60">
        <v>1.5996725246006198</v>
      </c>
      <c r="G386" s="60">
        <v>1.6878357046596904</v>
      </c>
      <c r="H386" s="60">
        <v>1.7730784853190558</v>
      </c>
      <c r="I386" s="60">
        <v>1.8562372612017166</v>
      </c>
      <c r="J386" s="120">
        <f ca="1">$J$350</f>
        <v>6.4662246948447342</v>
      </c>
      <c r="K386" s="59">
        <f t="dataTable" ref="K386:P391" dt2D="1" dtr="1" r1="E331" r2="E332" ca="1"/>
        <v>1.2987567606236723</v>
      </c>
      <c r="L386" s="60">
        <v>1.5679504122542216</v>
      </c>
      <c r="M386" s="60">
        <v>1.6707541185285137</v>
      </c>
      <c r="N386" s="60">
        <v>1.7710144767927836</v>
      </c>
      <c r="O386" s="60">
        <v>1.8694518716199766</v>
      </c>
      <c r="P386" s="60">
        <v>1.9666435870105996</v>
      </c>
    </row>
    <row r="387" spans="1:16">
      <c r="C387" s="52">
        <f ca="1">C386+1</f>
        <v>9.7031911061987692</v>
      </c>
      <c r="D387" s="61">
        <v>1.5563591642352967</v>
      </c>
      <c r="E387" s="62">
        <v>1.6590818220918282</v>
      </c>
      <c r="F387" s="62">
        <v>1.7557036794496752</v>
      </c>
      <c r="G387" s="62">
        <v>1.8477220288888601</v>
      </c>
      <c r="H387" s="62">
        <v>1.9363293877611867</v>
      </c>
      <c r="I387" s="62">
        <v>2.0224779819427221</v>
      </c>
      <c r="J387" s="87">
        <f t="shared" ref="J387:J391" ca="1" si="369">C387</f>
        <v>9.7031911061987692</v>
      </c>
      <c r="K387" s="61">
        <v>1.8774915349798338</v>
      </c>
      <c r="L387" s="62">
        <v>2.2501170450774097</v>
      </c>
      <c r="M387" s="62">
        <v>2.3674599650538526</v>
      </c>
      <c r="N387" s="62">
        <v>2.4801993771116333</v>
      </c>
      <c r="O387" s="62">
        <v>2.589527798602556</v>
      </c>
      <c r="P387" s="62">
        <v>2.6963974554026873</v>
      </c>
    </row>
    <row r="388" spans="1:16">
      <c r="B388" s="4" t="s">
        <v>146</v>
      </c>
      <c r="C388" s="52">
        <f t="shared" ref="C388:C391" ca="1" si="370">C387+1</f>
        <v>10.703191106198769</v>
      </c>
      <c r="D388" s="61">
        <v>1.7025867374226793</v>
      </c>
      <c r="E388" s="62">
        <v>1.8106213598356975</v>
      </c>
      <c r="F388" s="62">
        <v>1.9117348342987308</v>
      </c>
      <c r="G388" s="62">
        <v>2.0076083531180293</v>
      </c>
      <c r="H388" s="62">
        <v>2.0995802902033178</v>
      </c>
      <c r="I388" s="62">
        <v>2.1887187026837278</v>
      </c>
      <c r="J388" s="87">
        <f t="shared" ca="1" si="369"/>
        <v>10.703191106198769</v>
      </c>
      <c r="K388" s="61">
        <v>2.056280777996438</v>
      </c>
      <c r="L388" s="62">
        <v>2.4608596188744105</v>
      </c>
      <c r="M388" s="62">
        <v>2.5826941559560392</v>
      </c>
      <c r="N388" s="62">
        <v>2.699288737393934</v>
      </c>
      <c r="O388" s="62">
        <v>2.8119817370978186</v>
      </c>
      <c r="P388" s="62">
        <v>2.9218412121968238</v>
      </c>
    </row>
    <row r="389" spans="1:16">
      <c r="B389" s="4" t="s">
        <v>145</v>
      </c>
      <c r="C389" s="52">
        <f t="shared" ca="1" si="370"/>
        <v>11.703191106198769</v>
      </c>
      <c r="D389" s="61">
        <v>1.8488143106100616</v>
      </c>
      <c r="E389" s="62">
        <v>1.9621608975795666</v>
      </c>
      <c r="F389" s="62">
        <v>2.0677659891477855</v>
      </c>
      <c r="G389" s="62">
        <v>2.1674946773471993</v>
      </c>
      <c r="H389" s="62">
        <v>2.2628311926454492</v>
      </c>
      <c r="I389" s="62">
        <v>2.3549594234247335</v>
      </c>
      <c r="J389" s="87">
        <f t="shared" ca="1" si="369"/>
        <v>11.703191106198769</v>
      </c>
      <c r="K389" s="61">
        <v>2.2350700210130428</v>
      </c>
      <c r="L389" s="62">
        <v>2.67160219267141</v>
      </c>
      <c r="M389" s="62">
        <v>2.797928346858225</v>
      </c>
      <c r="N389" s="62">
        <v>2.9183780976762344</v>
      </c>
      <c r="O389" s="62">
        <v>3.0344356755930799</v>
      </c>
      <c r="P389" s="62">
        <v>3.1472849689909603</v>
      </c>
    </row>
    <row r="390" spans="1:16">
      <c r="C390" s="52">
        <f t="shared" ca="1" si="370"/>
        <v>12.703191106198769</v>
      </c>
      <c r="D390" s="61">
        <v>1.9950418837974437</v>
      </c>
      <c r="E390" s="62">
        <v>2.1137004353234357</v>
      </c>
      <c r="F390" s="62">
        <v>2.2237971439968409</v>
      </c>
      <c r="G390" s="62">
        <v>2.3273810015763687</v>
      </c>
      <c r="H390" s="62">
        <v>2.4260820950875801</v>
      </c>
      <c r="I390" s="62">
        <v>2.5212001441657388</v>
      </c>
      <c r="J390" s="87">
        <f t="shared" ca="1" si="369"/>
        <v>12.703191106198769</v>
      </c>
      <c r="K390" s="61">
        <v>2.4138592640296466</v>
      </c>
      <c r="L390" s="62">
        <v>2.8823447664684103</v>
      </c>
      <c r="M390" s="62">
        <v>3.0131625377604121</v>
      </c>
      <c r="N390" s="62">
        <v>3.1374674579585351</v>
      </c>
      <c r="O390" s="62">
        <v>3.2568896140883421</v>
      </c>
      <c r="P390" s="62">
        <v>3.3727287257850969</v>
      </c>
    </row>
    <row r="391" spans="1:16">
      <c r="C391" s="52">
        <f t="shared" ca="1" si="370"/>
        <v>13.703191106198769</v>
      </c>
      <c r="D391" s="61">
        <v>2.1412694569848258</v>
      </c>
      <c r="E391" s="62">
        <v>2.2652399730673047</v>
      </c>
      <c r="F391" s="62">
        <v>2.3798282988458963</v>
      </c>
      <c r="G391" s="62">
        <v>2.4872673258055387</v>
      </c>
      <c r="H391" s="62">
        <v>2.5893329975297115</v>
      </c>
      <c r="I391" s="62">
        <v>2.6874408649067445</v>
      </c>
      <c r="J391" s="87">
        <f t="shared" ca="1" si="369"/>
        <v>13.703191106198769</v>
      </c>
      <c r="K391" s="61">
        <v>2.5926485070462504</v>
      </c>
      <c r="L391" s="62">
        <v>3.0930873402654107</v>
      </c>
      <c r="M391" s="62">
        <v>3.2283967286625979</v>
      </c>
      <c r="N391" s="62">
        <v>3.3565568182408358</v>
      </c>
      <c r="O391" s="62">
        <v>3.4793435525836038</v>
      </c>
      <c r="P391" s="62">
        <v>3.5981724825792338</v>
      </c>
    </row>
    <row r="392" spans="1:16">
      <c r="A392" s="3" t="s">
        <v>1</v>
      </c>
    </row>
    <row r="396" spans="1:16">
      <c r="A396" s="3" t="s">
        <v>1</v>
      </c>
      <c r="B396" s="20" t="s">
        <v>143</v>
      </c>
      <c r="C396" s="20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</row>
    <row r="397" spans="1:16">
      <c r="B397" t="s">
        <v>222</v>
      </c>
      <c r="E397" s="29">
        <v>0</v>
      </c>
      <c r="F397" s="29">
        <v>0</v>
      </c>
      <c r="G397" s="42">
        <f t="shared" ref="G397:P397" ca="1" si="371">G316</f>
        <v>0.12731211183340965</v>
      </c>
      <c r="H397" s="42">
        <f t="shared" ca="1" si="371"/>
        <v>0.13584206618361694</v>
      </c>
      <c r="I397" s="42">
        <f t="shared" ca="1" si="371"/>
        <v>0.1424876651968511</v>
      </c>
      <c r="J397" s="42">
        <f t="shared" ca="1" si="371"/>
        <v>0.15142243505171557</v>
      </c>
      <c r="K397" s="42">
        <f t="shared" ca="1" si="371"/>
        <v>0.14052394954932193</v>
      </c>
      <c r="L397" s="42">
        <f t="shared" ca="1" si="371"/>
        <v>0.13087283274390643</v>
      </c>
      <c r="M397" s="42">
        <f t="shared" ca="1" si="371"/>
        <v>0.12231763060109767</v>
      </c>
      <c r="N397" s="42">
        <f t="shared" ca="1" si="371"/>
        <v>0.11471817828997065</v>
      </c>
      <c r="O397" s="42">
        <f t="shared" ca="1" si="371"/>
        <v>0.10794962980037677</v>
      </c>
      <c r="P397" s="42">
        <f t="shared" ca="1" si="371"/>
        <v>0.10190303226769208</v>
      </c>
    </row>
    <row r="398" spans="1:16">
      <c r="B398" t="s">
        <v>134</v>
      </c>
      <c r="E398" s="43">
        <v>0.02</v>
      </c>
      <c r="F398" s="42">
        <f>E398</f>
        <v>0.02</v>
      </c>
      <c r="G398" s="42">
        <f t="shared" ref="G398:P399" si="372">F398</f>
        <v>0.02</v>
      </c>
      <c r="H398" s="42">
        <f t="shared" si="372"/>
        <v>0.02</v>
      </c>
      <c r="I398" s="42">
        <f t="shared" si="372"/>
        <v>0.02</v>
      </c>
      <c r="J398" s="42">
        <f t="shared" si="372"/>
        <v>0.02</v>
      </c>
      <c r="K398" s="42">
        <f t="shared" si="372"/>
        <v>0.02</v>
      </c>
      <c r="L398" s="42">
        <f t="shared" si="372"/>
        <v>0.02</v>
      </c>
      <c r="M398" s="42">
        <f>L398</f>
        <v>0.02</v>
      </c>
      <c r="N398" s="42">
        <f t="shared" si="372"/>
        <v>0.02</v>
      </c>
      <c r="O398" s="42">
        <f t="shared" si="372"/>
        <v>0.02</v>
      </c>
      <c r="P398" s="42">
        <f t="shared" si="372"/>
        <v>0.02</v>
      </c>
    </row>
    <row r="399" spans="1:16">
      <c r="B399" t="s">
        <v>135</v>
      </c>
      <c r="E399" s="43">
        <v>0.1</v>
      </c>
      <c r="F399" s="42">
        <f>E399</f>
        <v>0.1</v>
      </c>
      <c r="G399" s="42">
        <f t="shared" si="372"/>
        <v>0.1</v>
      </c>
      <c r="H399" s="42">
        <f t="shared" si="372"/>
        <v>0.1</v>
      </c>
      <c r="I399" s="42">
        <f t="shared" si="372"/>
        <v>0.1</v>
      </c>
      <c r="J399" s="42">
        <f t="shared" si="372"/>
        <v>0.1</v>
      </c>
      <c r="K399" s="42">
        <f t="shared" si="372"/>
        <v>0.1</v>
      </c>
      <c r="L399" s="42">
        <f t="shared" si="372"/>
        <v>0.1</v>
      </c>
      <c r="M399" s="42">
        <f>L399</f>
        <v>0.1</v>
      </c>
      <c r="N399" s="42">
        <f t="shared" si="372"/>
        <v>0.1</v>
      </c>
      <c r="O399" s="42">
        <f t="shared" si="372"/>
        <v>0.1</v>
      </c>
      <c r="P399" s="42">
        <f t="shared" si="372"/>
        <v>0.1</v>
      </c>
    </row>
    <row r="400" spans="1:16">
      <c r="B400" t="s">
        <v>142</v>
      </c>
      <c r="E400" s="29">
        <v>0</v>
      </c>
      <c r="F400" s="40">
        <f>(F397-F398)/(F399-F398)</f>
        <v>-0.25</v>
      </c>
      <c r="G400" s="40">
        <f t="shared" ref="G400:P400" ca="1" si="373">(G397-G398)/(G399-G398)</f>
        <v>1.3414013979176205</v>
      </c>
      <c r="H400" s="40">
        <f t="shared" ca="1" si="373"/>
        <v>1.4480258272952116</v>
      </c>
      <c r="I400" s="40">
        <f t="shared" ca="1" si="373"/>
        <v>1.5310958149606386</v>
      </c>
      <c r="J400" s="40">
        <f t="shared" ca="1" si="373"/>
        <v>1.6427804381464448</v>
      </c>
      <c r="K400" s="40">
        <f t="shared" ca="1" si="373"/>
        <v>1.5065493693665239</v>
      </c>
      <c r="L400" s="40">
        <f t="shared" ca="1" si="373"/>
        <v>1.3859104092988304</v>
      </c>
      <c r="M400" s="40">
        <f t="shared" ca="1" si="373"/>
        <v>1.2789703825137209</v>
      </c>
      <c r="N400" s="40">
        <f t="shared" ca="1" si="373"/>
        <v>1.1839772286246331</v>
      </c>
      <c r="O400" s="40">
        <f t="shared" ca="1" si="373"/>
        <v>1.0993703725047095</v>
      </c>
      <c r="P400" s="40">
        <f t="shared" ca="1" si="373"/>
        <v>1.023787903346151</v>
      </c>
    </row>
    <row r="401" spans="1:16">
      <c r="B401" t="s">
        <v>136</v>
      </c>
      <c r="E401" s="29">
        <v>0</v>
      </c>
      <c r="F401" s="40">
        <f t="shared" ref="F401:O401" ca="1" si="374">(F400*F348)/G337</f>
        <v>-1.8683044443739878</v>
      </c>
      <c r="G401" s="40">
        <f t="shared" ca="1" si="374"/>
        <v>9.9555066654664817</v>
      </c>
      <c r="H401" s="40">
        <f t="shared" ca="1" si="374"/>
        <v>11.274617004201655</v>
      </c>
      <c r="I401" s="40">
        <f t="shared" ca="1" si="374"/>
        <v>12.677701637839588</v>
      </c>
      <c r="J401" s="40">
        <f t="shared" ca="1" si="374"/>
        <v>14.653124977365266</v>
      </c>
      <c r="K401" s="40">
        <f t="shared" ca="1" si="374"/>
        <v>14.432214145167515</v>
      </c>
      <c r="L401" s="40">
        <f t="shared" ca="1" si="374"/>
        <v>14.211874064139055</v>
      </c>
      <c r="M401" s="40">
        <f t="shared" ca="1" si="374"/>
        <v>13.991816918581325</v>
      </c>
      <c r="N401" s="40">
        <f t="shared" ca="1" si="374"/>
        <v>13.771982742670556</v>
      </c>
      <c r="O401" s="40">
        <f t="shared" ca="1" si="374"/>
        <v>13.552452967368959</v>
      </c>
      <c r="P401" s="41">
        <v>0</v>
      </c>
    </row>
    <row r="402" spans="1:16">
      <c r="A402" s="3" t="s">
        <v>1</v>
      </c>
    </row>
    <row r="408" spans="1:16">
      <c r="J408" t="s">
        <v>238</v>
      </c>
    </row>
  </sheetData>
  <sortState xmlns:xlrd2="http://schemas.microsoft.com/office/spreadsheetml/2017/richdata2" ref="F344:P345">
    <sortCondition ref="P345"/>
  </sortState>
  <conditionalFormatting sqref="D376:I381 K376:P381">
    <cfRule type="cellIs" dxfId="0" priority="3" operator="greaterThan">
      <formula>0.2</formula>
    </cfRule>
  </conditionalFormatting>
  <pageMargins left="0.7" right="0.7" top="0.75" bottom="0.75" header="0.3" footer="0.3"/>
  <pageSetup scale="59" orientation="landscape" r:id="rId1"/>
  <headerFooter>
    <oddHeader>&amp;RSTRICTLY CONFIDENTIAL</oddHeader>
    <oddFooter>&amp;LPage &amp;P of &amp;N&amp;RSTORMHARBOUR SECURITIES LP</oddFooter>
  </headerFooter>
  <rowBreaks count="10" manualBreakCount="10">
    <brk id="34" max="16" man="1"/>
    <brk id="62" max="16" man="1"/>
    <brk id="113" max="16" man="1"/>
    <brk id="163" max="16" man="1"/>
    <brk id="184" max="16" man="1"/>
    <brk id="227" max="16" man="1"/>
    <brk id="252" max="16" man="1"/>
    <brk id="305" max="16" man="1"/>
    <brk id="322" max="16" man="1"/>
    <brk id="369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1"/>
  <sheetViews>
    <sheetView showGridLines="0" zoomScale="85" zoomScaleNormal="85" zoomScaleSheetLayoutView="55" workbookViewId="0">
      <selection activeCell="F42" sqref="F42"/>
    </sheetView>
  </sheetViews>
  <sheetFormatPr baseColWidth="10" defaultColWidth="8.83203125" defaultRowHeight="15"/>
  <cols>
    <col min="1" max="1" width="1.6640625" customWidth="1"/>
    <col min="2" max="38" width="12.6640625" customWidth="1"/>
  </cols>
  <sheetData>
    <row r="1" spans="1:16" ht="21" thickBot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6" thickTop="1"/>
    <row r="3" spans="1:16">
      <c r="B3" s="4" t="s">
        <v>271</v>
      </c>
      <c r="C3" s="4"/>
    </row>
    <row r="4" spans="1:16">
      <c r="A4" s="3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1:16">
      <c r="E6" s="5">
        <f>model!E3</f>
        <v>41274</v>
      </c>
      <c r="F6" s="5">
        <f>model!F3</f>
        <v>41639</v>
      </c>
      <c r="G6" s="5">
        <f>model!G3</f>
        <v>42004</v>
      </c>
      <c r="H6" s="5">
        <f>model!H3</f>
        <v>42369</v>
      </c>
      <c r="I6" s="5">
        <f>model!I3</f>
        <v>42735</v>
      </c>
      <c r="J6" s="5">
        <f>model!J3</f>
        <v>43100</v>
      </c>
      <c r="K6" s="5">
        <f>model!K3</f>
        <v>43465</v>
      </c>
      <c r="L6" s="5">
        <f>model!L3</f>
        <v>43830</v>
      </c>
      <c r="M6" s="5">
        <f>model!M3</f>
        <v>44196</v>
      </c>
      <c r="N6" s="5">
        <f>model!N3</f>
        <v>44561</v>
      </c>
      <c r="O6" s="5">
        <f>model!O3</f>
        <v>44926</v>
      </c>
      <c r="P6" s="5">
        <f>model!P3</f>
        <v>45291</v>
      </c>
    </row>
    <row r="7" spans="1:16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B8" s="20" t="s">
        <v>263</v>
      </c>
      <c r="C8" s="20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>
      <c r="B9" s="130"/>
    </row>
    <row r="10" spans="1:16">
      <c r="C10" s="129" t="s">
        <v>261</v>
      </c>
      <c r="D10" s="129"/>
    </row>
    <row r="11" spans="1:16">
      <c r="B11" s="124">
        <f t="array" ref="B11:B22">TRANSPOSE($E$6:$P$6)</f>
        <v>41274</v>
      </c>
      <c r="C11" s="127">
        <v>5</v>
      </c>
      <c r="D11" s="127"/>
      <c r="E11" s="12">
        <f>-$C45/$C11*0.5</f>
        <v>-20</v>
      </c>
      <c r="F11" s="12">
        <f t="shared" ref="F11:P11" si="0">IF((E45+F28)&lt;$C45/$C11,-(E45+F28),-$C45/$C11)</f>
        <v>-40</v>
      </c>
      <c r="G11" s="12">
        <f t="shared" si="0"/>
        <v>-40</v>
      </c>
      <c r="H11" s="12">
        <f t="shared" si="0"/>
        <v>-40</v>
      </c>
      <c r="I11" s="12">
        <f t="shared" si="0"/>
        <v>-40</v>
      </c>
      <c r="J11" s="12">
        <f t="shared" si="0"/>
        <v>-14.187418532100004</v>
      </c>
      <c r="K11" s="12">
        <f t="shared" si="0"/>
        <v>0</v>
      </c>
      <c r="L11" s="12">
        <f t="shared" si="0"/>
        <v>0</v>
      </c>
      <c r="M11" s="12">
        <f t="shared" si="0"/>
        <v>0</v>
      </c>
      <c r="N11" s="12">
        <f t="shared" si="0"/>
        <v>0</v>
      </c>
      <c r="O11" s="12">
        <f t="shared" si="0"/>
        <v>0</v>
      </c>
      <c r="P11" s="12">
        <f t="shared" si="0"/>
        <v>0</v>
      </c>
    </row>
    <row r="12" spans="1:16">
      <c r="B12" s="124">
        <v>41639</v>
      </c>
      <c r="C12" s="131">
        <f>C11</f>
        <v>5</v>
      </c>
      <c r="D12" s="128"/>
      <c r="F12" s="12">
        <f>-$C46/$C12*0.5</f>
        <v>-20</v>
      </c>
      <c r="G12" s="12">
        <f t="shared" ref="G12:P12" si="1">IF((F46+G29)&lt;$C46/$C12,-(F46+G29),-$C46/$C12)</f>
        <v>-40</v>
      </c>
      <c r="H12" s="12">
        <f t="shared" si="1"/>
        <v>-40</v>
      </c>
      <c r="I12" s="12">
        <f t="shared" si="1"/>
        <v>-40</v>
      </c>
      <c r="J12" s="12">
        <f t="shared" si="1"/>
        <v>-40</v>
      </c>
      <c r="K12" s="12">
        <f t="shared" si="1"/>
        <v>-14.187418532100004</v>
      </c>
      <c r="L12" s="12">
        <f t="shared" si="1"/>
        <v>0</v>
      </c>
      <c r="M12" s="12">
        <f t="shared" si="1"/>
        <v>0</v>
      </c>
      <c r="N12" s="12">
        <f t="shared" si="1"/>
        <v>0</v>
      </c>
      <c r="O12" s="12">
        <f t="shared" si="1"/>
        <v>0</v>
      </c>
      <c r="P12" s="12">
        <f t="shared" si="1"/>
        <v>0</v>
      </c>
    </row>
    <row r="13" spans="1:16">
      <c r="B13" s="124">
        <v>42004</v>
      </c>
      <c r="C13" s="131">
        <f t="shared" ref="C13:C22" si="2">C12</f>
        <v>5</v>
      </c>
      <c r="D13" s="128"/>
      <c r="G13" s="12">
        <f>-$C47/$C13*0.5</f>
        <v>-20</v>
      </c>
      <c r="H13" s="12">
        <f t="shared" ref="H13:P13" si="3">IF((G47+H30)&lt;$C47/$C13,-(G47+H30),-$C47/$C13)</f>
        <v>-40</v>
      </c>
      <c r="I13" s="12">
        <f t="shared" si="3"/>
        <v>-40</v>
      </c>
      <c r="J13" s="12">
        <f t="shared" si="3"/>
        <v>-40</v>
      </c>
      <c r="K13" s="12">
        <f t="shared" si="3"/>
        <v>-40</v>
      </c>
      <c r="L13" s="12">
        <f t="shared" si="3"/>
        <v>-14.187418532100004</v>
      </c>
      <c r="M13" s="12">
        <f t="shared" si="3"/>
        <v>0</v>
      </c>
      <c r="N13" s="12">
        <f t="shared" si="3"/>
        <v>0</v>
      </c>
      <c r="O13" s="12">
        <f t="shared" si="3"/>
        <v>0</v>
      </c>
      <c r="P13" s="12">
        <f t="shared" si="3"/>
        <v>0</v>
      </c>
    </row>
    <row r="14" spans="1:16">
      <c r="B14" s="124">
        <v>42369</v>
      </c>
      <c r="C14" s="131">
        <f t="shared" si="2"/>
        <v>5</v>
      </c>
      <c r="D14" s="128"/>
      <c r="H14" s="12">
        <f>-$C48/$C14*0.5</f>
        <v>-20</v>
      </c>
      <c r="I14" s="12">
        <f t="shared" ref="I14:P14" si="4">IF((H48+I31)&lt;$C48/$C14,-(H48+I31),-$C48/$C14)</f>
        <v>-40</v>
      </c>
      <c r="J14" s="12">
        <f t="shared" si="4"/>
        <v>-40</v>
      </c>
      <c r="K14" s="12">
        <f t="shared" si="4"/>
        <v>-40</v>
      </c>
      <c r="L14" s="12">
        <f t="shared" si="4"/>
        <v>-40</v>
      </c>
      <c r="M14" s="12">
        <f t="shared" si="4"/>
        <v>-14.187418532100004</v>
      </c>
      <c r="N14" s="12">
        <f t="shared" si="4"/>
        <v>0</v>
      </c>
      <c r="O14" s="12">
        <f t="shared" si="4"/>
        <v>0</v>
      </c>
      <c r="P14" s="12">
        <f t="shared" si="4"/>
        <v>0</v>
      </c>
    </row>
    <row r="15" spans="1:16">
      <c r="B15" s="124">
        <v>42735</v>
      </c>
      <c r="C15" s="131">
        <f t="shared" si="2"/>
        <v>5</v>
      </c>
      <c r="D15" s="128"/>
      <c r="I15" s="12">
        <f>-$C49/$C15*0.5</f>
        <v>-20</v>
      </c>
      <c r="J15" s="12">
        <f t="shared" ref="J15:P15" si="5">IF((I49+J32)&lt;$C49/$C15,-(I49+J32),-$C49/$C15)</f>
        <v>-40</v>
      </c>
      <c r="K15" s="12">
        <f t="shared" si="5"/>
        <v>-40</v>
      </c>
      <c r="L15" s="12">
        <f t="shared" si="5"/>
        <v>-40</v>
      </c>
      <c r="M15" s="12">
        <f t="shared" si="5"/>
        <v>-40</v>
      </c>
      <c r="N15" s="12">
        <f t="shared" si="5"/>
        <v>-14.187418532100004</v>
      </c>
      <c r="O15" s="12">
        <f t="shared" si="5"/>
        <v>0</v>
      </c>
      <c r="P15" s="12">
        <f t="shared" si="5"/>
        <v>0</v>
      </c>
    </row>
    <row r="16" spans="1:16">
      <c r="B16" s="124">
        <v>43100</v>
      </c>
      <c r="C16" s="131">
        <f t="shared" si="2"/>
        <v>5</v>
      </c>
      <c r="D16" s="128"/>
      <c r="J16" s="12">
        <f>-$C50/$C16*0.5</f>
        <v>-20</v>
      </c>
      <c r="K16" s="12">
        <f t="shared" ref="K16:P16" si="6">IF((J50+K33)&lt;$C50/$C16,-(J50+K33),-$C50/$C16)</f>
        <v>-40</v>
      </c>
      <c r="L16" s="12">
        <f t="shared" si="6"/>
        <v>-40</v>
      </c>
      <c r="M16" s="12">
        <f t="shared" si="6"/>
        <v>-40</v>
      </c>
      <c r="N16" s="12">
        <f t="shared" si="6"/>
        <v>-40</v>
      </c>
      <c r="O16" s="12">
        <f t="shared" si="6"/>
        <v>-14.187418532100004</v>
      </c>
      <c r="P16" s="12">
        <f t="shared" si="6"/>
        <v>0</v>
      </c>
    </row>
    <row r="17" spans="2:27">
      <c r="B17" s="124">
        <v>43465</v>
      </c>
      <c r="C17" s="131">
        <f t="shared" si="2"/>
        <v>5</v>
      </c>
      <c r="D17" s="128"/>
      <c r="K17" s="12">
        <f>-$C51/$C17*0.5</f>
        <v>-20</v>
      </c>
      <c r="L17" s="12">
        <f>IF((K51+L34)&lt;$C51/$C17,-(K51+L34),-$C51/$C17)</f>
        <v>-40</v>
      </c>
      <c r="M17" s="12">
        <f>IF((L51+M34)&lt;$C51/$C17,-(L51+M34),-$C51/$C17)</f>
        <v>-40</v>
      </c>
      <c r="N17" s="12">
        <f>IF((M51+N34)&lt;$C51/$C17,-(M51+N34),-$C51/$C17)</f>
        <v>-40</v>
      </c>
      <c r="O17" s="12">
        <f>IF((N51+O34)&lt;$C51/$C17,-(N51+O34),-$C51/$C17)</f>
        <v>-40</v>
      </c>
      <c r="P17" s="12">
        <f>IF((O51+P34)&lt;$C51/$C17,-(O51+P34),-$C51/$C17)</f>
        <v>-14.187418532100004</v>
      </c>
    </row>
    <row r="18" spans="2:27">
      <c r="B18" s="124">
        <v>43830</v>
      </c>
      <c r="C18" s="131">
        <f t="shared" si="2"/>
        <v>5</v>
      </c>
      <c r="D18" s="128"/>
      <c r="L18" s="12">
        <f>-$C52/$C18*0.5</f>
        <v>-20</v>
      </c>
      <c r="M18" s="12">
        <f>IF((L52+M35)&lt;$C52/$C18,-(L52+M35),-$C52/$C18)</f>
        <v>-40</v>
      </c>
      <c r="N18" s="12">
        <f>IF((M52+N35)&lt;$C52/$C18,-(M52+N35),-$C52/$C18)</f>
        <v>-40</v>
      </c>
      <c r="O18" s="12">
        <f>IF((N52+O35)&lt;$C52/$C18,-(N52+O35),-$C52/$C18)</f>
        <v>-40</v>
      </c>
      <c r="P18" s="12">
        <f>IF((O52+P35)&lt;$C52/$C18,-(O52+P35),-$C52/$C18)</f>
        <v>-40</v>
      </c>
    </row>
    <row r="19" spans="2:27">
      <c r="B19" s="124">
        <v>44196</v>
      </c>
      <c r="C19" s="131">
        <f t="shared" si="2"/>
        <v>5</v>
      </c>
      <c r="D19" s="128"/>
      <c r="M19" s="12">
        <f>-$C53/$C19*0.5</f>
        <v>-20</v>
      </c>
      <c r="N19" s="12">
        <f>IF((M53+N36)&lt;$C53/$C19,-(M53+N36),-$C53/$C19)</f>
        <v>-40</v>
      </c>
      <c r="O19" s="12">
        <f>IF((N53+O36)&lt;$C53/$C19,-(N53+O36),-$C53/$C19)</f>
        <v>-40</v>
      </c>
      <c r="P19" s="12">
        <f>IF((O53+P36)&lt;$C53/$C19,-(O53+P36),-$C53/$C19)</f>
        <v>-40</v>
      </c>
    </row>
    <row r="20" spans="2:27">
      <c r="B20" s="124">
        <v>44561</v>
      </c>
      <c r="C20" s="131">
        <f t="shared" si="2"/>
        <v>5</v>
      </c>
      <c r="D20" s="128"/>
      <c r="N20" s="12">
        <f>-$C54/$C20*0.5</f>
        <v>-20</v>
      </c>
      <c r="O20" s="12">
        <f>IF((N54+O37)&lt;$C54/$C20,-(N54+O37),-$C54/$C20)</f>
        <v>-40</v>
      </c>
      <c r="P20" s="12">
        <f>IF((O54+P37)&lt;$C54/$C20,-(O54+P37),-$C54/$C20)</f>
        <v>-40</v>
      </c>
    </row>
    <row r="21" spans="2:27">
      <c r="B21" s="124">
        <v>44926</v>
      </c>
      <c r="C21" s="131">
        <f t="shared" si="2"/>
        <v>5</v>
      </c>
      <c r="D21" s="128"/>
      <c r="O21" s="12">
        <f>-$C55/$C21*0.5</f>
        <v>-20</v>
      </c>
      <c r="P21" s="12">
        <f>IF((O55+P38)&lt;$C55/$C21,-(O55+P38),-$C55/$C21)</f>
        <v>-40</v>
      </c>
    </row>
    <row r="22" spans="2:27">
      <c r="B22" s="124">
        <v>45291</v>
      </c>
      <c r="C22" s="131">
        <f t="shared" si="2"/>
        <v>5</v>
      </c>
      <c r="D22" s="128"/>
      <c r="P22" s="12">
        <f>-$C56/$C22*0.5</f>
        <v>-20</v>
      </c>
      <c r="AA22" s="12"/>
    </row>
    <row r="23" spans="2:27">
      <c r="B23" s="4" t="s">
        <v>262</v>
      </c>
      <c r="E23" s="23">
        <f>SUM(E11:E22)</f>
        <v>-20</v>
      </c>
      <c r="F23" s="23">
        <f t="shared" ref="F23" si="7">SUM(F11:F22)</f>
        <v>-60</v>
      </c>
      <c r="G23" s="23">
        <f t="shared" ref="G23" si="8">SUM(G11:G22)</f>
        <v>-100</v>
      </c>
      <c r="H23" s="23">
        <f t="shared" ref="H23" si="9">SUM(H11:H22)</f>
        <v>-140</v>
      </c>
      <c r="I23" s="23">
        <f t="shared" ref="I23" si="10">SUM(I11:I22)</f>
        <v>-180</v>
      </c>
      <c r="J23" s="23">
        <f t="shared" ref="J23" si="11">SUM(J11:J22)</f>
        <v>-194.1874185321</v>
      </c>
      <c r="K23" s="23">
        <f t="shared" ref="K23" si="12">SUM(K11:K22)</f>
        <v>-194.1874185321</v>
      </c>
      <c r="L23" s="23">
        <f t="shared" ref="L23" si="13">SUM(L11:L22)</f>
        <v>-194.1874185321</v>
      </c>
      <c r="M23" s="23">
        <f t="shared" ref="M23" si="14">SUM(M11:M22)</f>
        <v>-194.1874185321</v>
      </c>
      <c r="N23" s="23">
        <f t="shared" ref="N23" si="15">SUM(N11:N22)</f>
        <v>-194.1874185321</v>
      </c>
      <c r="O23" s="23">
        <f t="shared" ref="O23" si="16">SUM(O11:O22)</f>
        <v>-194.1874185321</v>
      </c>
      <c r="P23" s="23">
        <f t="shared" ref="P23" si="17">SUM(P11:P22)</f>
        <v>-194.1874185321</v>
      </c>
    </row>
    <row r="25" spans="2:27">
      <c r="B25" s="20" t="s">
        <v>264</v>
      </c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2:27">
      <c r="B26" s="130"/>
    </row>
    <row r="27" spans="2:27">
      <c r="C27" s="129" t="s">
        <v>265</v>
      </c>
      <c r="D27" s="129"/>
    </row>
    <row r="28" spans="2:27">
      <c r="B28" s="124">
        <f t="array" ref="B28:B39">TRANSPOSE($E$6:$P$6)</f>
        <v>41274</v>
      </c>
      <c r="C28" s="132">
        <v>0.01</v>
      </c>
      <c r="D28" s="127"/>
      <c r="E28" s="12">
        <f>-($C45)*$C$28*0.5</f>
        <v>-1</v>
      </c>
      <c r="F28" s="12">
        <f t="shared" ref="F28:P28" si="18">-(E45)*$C$28</f>
        <v>-1.79</v>
      </c>
      <c r="G28" s="12">
        <f t="shared" si="18"/>
        <v>-1.3721000000000001</v>
      </c>
      <c r="H28" s="12">
        <f t="shared" si="18"/>
        <v>-0.95837900000000009</v>
      </c>
      <c r="I28" s="12">
        <f t="shared" si="18"/>
        <v>-0.54879521000000009</v>
      </c>
      <c r="J28" s="12">
        <f t="shared" si="18"/>
        <v>-0.14330725790000004</v>
      </c>
      <c r="K28" s="12">
        <f t="shared" si="18"/>
        <v>0</v>
      </c>
      <c r="L28" s="12">
        <f t="shared" si="18"/>
        <v>0</v>
      </c>
      <c r="M28" s="12">
        <f t="shared" si="18"/>
        <v>0</v>
      </c>
      <c r="N28" s="12">
        <f t="shared" si="18"/>
        <v>0</v>
      </c>
      <c r="O28" s="12">
        <f t="shared" si="18"/>
        <v>0</v>
      </c>
      <c r="P28" s="12">
        <f t="shared" si="18"/>
        <v>0</v>
      </c>
    </row>
    <row r="29" spans="2:27">
      <c r="B29" s="124">
        <v>41639</v>
      </c>
      <c r="C29" s="133">
        <f>C28</f>
        <v>0.01</v>
      </c>
      <c r="D29" s="128"/>
      <c r="F29" s="12">
        <f>-($C46)*$C$28*0.5</f>
        <v>-1</v>
      </c>
      <c r="G29" s="12">
        <f t="shared" ref="G29:P29" si="19">-(F46)*$C$28</f>
        <v>-1.79</v>
      </c>
      <c r="H29" s="12">
        <f t="shared" si="19"/>
        <v>-1.3721000000000001</v>
      </c>
      <c r="I29" s="12">
        <f t="shared" si="19"/>
        <v>-0.95837900000000009</v>
      </c>
      <c r="J29" s="12">
        <f t="shared" si="19"/>
        <v>-0.54879521000000009</v>
      </c>
      <c r="K29" s="12">
        <f t="shared" si="19"/>
        <v>-0.14330725790000004</v>
      </c>
      <c r="L29" s="12">
        <f t="shared" si="19"/>
        <v>0</v>
      </c>
      <c r="M29" s="12">
        <f t="shared" si="19"/>
        <v>0</v>
      </c>
      <c r="N29" s="12">
        <f t="shared" si="19"/>
        <v>0</v>
      </c>
      <c r="O29" s="12">
        <f t="shared" si="19"/>
        <v>0</v>
      </c>
      <c r="P29" s="12">
        <f t="shared" si="19"/>
        <v>0</v>
      </c>
    </row>
    <row r="30" spans="2:27">
      <c r="B30" s="124">
        <v>42004</v>
      </c>
      <c r="C30" s="133">
        <f t="shared" ref="C30:C39" si="20">C29</f>
        <v>0.01</v>
      </c>
      <c r="D30" s="128"/>
      <c r="G30" s="12">
        <f>-($C47)*$C$28*0.5</f>
        <v>-1</v>
      </c>
      <c r="H30" s="12">
        <f t="shared" ref="H30:P30" si="21">-(G47)*$C$28</f>
        <v>-1.79</v>
      </c>
      <c r="I30" s="12">
        <f t="shared" si="21"/>
        <v>-1.3721000000000001</v>
      </c>
      <c r="J30" s="12">
        <f t="shared" si="21"/>
        <v>-0.95837900000000009</v>
      </c>
      <c r="K30" s="12">
        <f t="shared" si="21"/>
        <v>-0.54879521000000009</v>
      </c>
      <c r="L30" s="12">
        <f t="shared" si="21"/>
        <v>-0.14330725790000004</v>
      </c>
      <c r="M30" s="12">
        <f t="shared" si="21"/>
        <v>0</v>
      </c>
      <c r="N30" s="12">
        <f t="shared" si="21"/>
        <v>0</v>
      </c>
      <c r="O30" s="12">
        <f t="shared" si="21"/>
        <v>0</v>
      </c>
      <c r="P30" s="12">
        <f t="shared" si="21"/>
        <v>0</v>
      </c>
    </row>
    <row r="31" spans="2:27">
      <c r="B31" s="124">
        <v>42369</v>
      </c>
      <c r="C31" s="133">
        <f t="shared" si="20"/>
        <v>0.01</v>
      </c>
      <c r="D31" s="128"/>
      <c r="H31" s="12">
        <f>-($C48)*$C$28*0.5</f>
        <v>-1</v>
      </c>
      <c r="I31" s="12">
        <f t="shared" ref="I31:P31" si="22">-(H48)*$C$28</f>
        <v>-1.79</v>
      </c>
      <c r="J31" s="12">
        <f t="shared" si="22"/>
        <v>-1.3721000000000001</v>
      </c>
      <c r="K31" s="12">
        <f t="shared" si="22"/>
        <v>-0.95837900000000009</v>
      </c>
      <c r="L31" s="12">
        <f t="shared" si="22"/>
        <v>-0.54879521000000009</v>
      </c>
      <c r="M31" s="12">
        <f t="shared" si="22"/>
        <v>-0.14330725790000004</v>
      </c>
      <c r="N31" s="12">
        <f t="shared" si="22"/>
        <v>0</v>
      </c>
      <c r="O31" s="12">
        <f t="shared" si="22"/>
        <v>0</v>
      </c>
      <c r="P31" s="12">
        <f t="shared" si="22"/>
        <v>0</v>
      </c>
    </row>
    <row r="32" spans="2:27">
      <c r="B32" s="124">
        <v>42735</v>
      </c>
      <c r="C32" s="133">
        <f t="shared" si="20"/>
        <v>0.01</v>
      </c>
      <c r="D32" s="128"/>
      <c r="I32" s="12">
        <f>-($C49)*$C$28*0.5</f>
        <v>-1</v>
      </c>
      <c r="J32" s="12">
        <f t="shared" ref="J32:P32" si="23">-(I49)*$C$28</f>
        <v>-1.79</v>
      </c>
      <c r="K32" s="12">
        <f t="shared" si="23"/>
        <v>-1.3721000000000001</v>
      </c>
      <c r="L32" s="12">
        <f t="shared" si="23"/>
        <v>-0.95837900000000009</v>
      </c>
      <c r="M32" s="12">
        <f t="shared" si="23"/>
        <v>-0.54879521000000009</v>
      </c>
      <c r="N32" s="12">
        <f t="shared" si="23"/>
        <v>-0.14330725790000004</v>
      </c>
      <c r="O32" s="12">
        <f t="shared" si="23"/>
        <v>0</v>
      </c>
      <c r="P32" s="12">
        <f t="shared" si="23"/>
        <v>0</v>
      </c>
    </row>
    <row r="33" spans="2:27">
      <c r="B33" s="124">
        <v>43100</v>
      </c>
      <c r="C33" s="133">
        <f t="shared" si="20"/>
        <v>0.01</v>
      </c>
      <c r="D33" s="128"/>
      <c r="J33" s="12">
        <f>-($C50)*$C$28*0.5</f>
        <v>-1</v>
      </c>
      <c r="K33" s="12">
        <f t="shared" ref="K33:P33" si="24">-(J50)*$C$28</f>
        <v>-1.79</v>
      </c>
      <c r="L33" s="12">
        <f t="shared" si="24"/>
        <v>-1.3721000000000001</v>
      </c>
      <c r="M33" s="12">
        <f t="shared" si="24"/>
        <v>-0.95837900000000009</v>
      </c>
      <c r="N33" s="12">
        <f t="shared" si="24"/>
        <v>-0.54879521000000009</v>
      </c>
      <c r="O33" s="12">
        <f t="shared" si="24"/>
        <v>-0.14330725790000004</v>
      </c>
      <c r="P33" s="12">
        <f t="shared" si="24"/>
        <v>0</v>
      </c>
    </row>
    <row r="34" spans="2:27">
      <c r="B34" s="124">
        <v>43465</v>
      </c>
      <c r="C34" s="133">
        <f t="shared" si="20"/>
        <v>0.01</v>
      </c>
      <c r="D34" s="128"/>
      <c r="K34" s="12">
        <f>-($C51)*$C$28*0.5</f>
        <v>-1</v>
      </c>
      <c r="L34" s="12">
        <f>-(K51)*$C$28</f>
        <v>-1.79</v>
      </c>
      <c r="M34" s="12">
        <f>-(L51)*$C$28</f>
        <v>-1.3721000000000001</v>
      </c>
      <c r="N34" s="12">
        <f>-(M51)*$C$28</f>
        <v>-0.95837900000000009</v>
      </c>
      <c r="O34" s="12">
        <f>-(N51)*$C$28</f>
        <v>-0.54879521000000009</v>
      </c>
      <c r="P34" s="12">
        <f>-(O51)*$C$28</f>
        <v>-0.14330725790000004</v>
      </c>
    </row>
    <row r="35" spans="2:27">
      <c r="B35" s="124">
        <v>43830</v>
      </c>
      <c r="C35" s="133">
        <f t="shared" si="20"/>
        <v>0.01</v>
      </c>
      <c r="D35" s="128"/>
      <c r="L35" s="12">
        <f>-($C52)*$C$28*0.5</f>
        <v>-1</v>
      </c>
      <c r="M35" s="12">
        <f>-(L52)*$C$28</f>
        <v>-1.79</v>
      </c>
      <c r="N35" s="12">
        <f>-(M52)*$C$28</f>
        <v>-1.3721000000000001</v>
      </c>
      <c r="O35" s="12">
        <f>-(N52)*$C$28</f>
        <v>-0.95837900000000009</v>
      </c>
      <c r="P35" s="12">
        <f>-(O52)*$C$28</f>
        <v>-0.54879521000000009</v>
      </c>
    </row>
    <row r="36" spans="2:27">
      <c r="B36" s="124">
        <v>44196</v>
      </c>
      <c r="C36" s="133">
        <f t="shared" si="20"/>
        <v>0.01</v>
      </c>
      <c r="D36" s="128"/>
      <c r="M36" s="12">
        <f>-($C53)*$C$28*0.5</f>
        <v>-1</v>
      </c>
      <c r="N36" s="12">
        <f>-(M53)*$C$28</f>
        <v>-1.79</v>
      </c>
      <c r="O36" s="12">
        <f>-(N53)*$C$28</f>
        <v>-1.3721000000000001</v>
      </c>
      <c r="P36" s="12">
        <f>-(O53)*$C$28</f>
        <v>-0.95837900000000009</v>
      </c>
    </row>
    <row r="37" spans="2:27">
      <c r="B37" s="124">
        <v>44561</v>
      </c>
      <c r="C37" s="133">
        <f t="shared" si="20"/>
        <v>0.01</v>
      </c>
      <c r="D37" s="128"/>
      <c r="N37" s="12">
        <f>-($C54)*$C$28*0.5</f>
        <v>-1</v>
      </c>
      <c r="O37" s="12">
        <f>-(N54)*$C$28</f>
        <v>-1.79</v>
      </c>
      <c r="P37" s="12">
        <f>-(O54)*$C$28</f>
        <v>-1.3721000000000001</v>
      </c>
    </row>
    <row r="38" spans="2:27">
      <c r="B38" s="124">
        <v>44926</v>
      </c>
      <c r="C38" s="133">
        <f t="shared" si="20"/>
        <v>0.01</v>
      </c>
      <c r="D38" s="128"/>
      <c r="O38" s="12">
        <f>-($C55)*$C$28*0.5</f>
        <v>-1</v>
      </c>
      <c r="P38" s="12">
        <f>-(O55)*$C$28</f>
        <v>-1.79</v>
      </c>
    </row>
    <row r="39" spans="2:27">
      <c r="B39" s="124">
        <v>45291</v>
      </c>
      <c r="C39" s="133">
        <f t="shared" si="20"/>
        <v>0.01</v>
      </c>
      <c r="D39" s="128"/>
      <c r="P39" s="12">
        <f>-($C56)*$C$28*0.5</f>
        <v>-1</v>
      </c>
      <c r="AA39" s="12"/>
    </row>
    <row r="40" spans="2:27">
      <c r="B40" s="4" t="s">
        <v>268</v>
      </c>
      <c r="E40" s="23">
        <f>SUM(E28:E39)</f>
        <v>-1</v>
      </c>
      <c r="F40" s="23">
        <f t="shared" ref="F40" si="25">SUM(F28:F39)</f>
        <v>-2.79</v>
      </c>
      <c r="G40" s="23">
        <f t="shared" ref="G40" si="26">SUM(G28:G39)</f>
        <v>-4.1621000000000006</v>
      </c>
      <c r="H40" s="23">
        <f t="shared" ref="H40" si="27">SUM(H28:H39)</f>
        <v>-5.1204790000000004</v>
      </c>
      <c r="I40" s="23">
        <f t="shared" ref="I40" si="28">SUM(I28:I39)</f>
        <v>-5.6692742100000002</v>
      </c>
      <c r="J40" s="23">
        <f t="shared" ref="J40" si="29">SUM(J28:J39)</f>
        <v>-5.8125814679000003</v>
      </c>
      <c r="K40" s="23">
        <f t="shared" ref="K40" si="30">SUM(K28:K39)</f>
        <v>-5.8125814679000003</v>
      </c>
      <c r="L40" s="23">
        <f t="shared" ref="L40" si="31">SUM(L28:L39)</f>
        <v>-5.8125814679000003</v>
      </c>
      <c r="M40" s="23">
        <f t="shared" ref="M40" si="32">SUM(M28:M39)</f>
        <v>-5.8125814679000003</v>
      </c>
      <c r="N40" s="23">
        <f t="shared" ref="N40" si="33">SUM(N28:N39)</f>
        <v>-5.8125814679000003</v>
      </c>
      <c r="O40" s="23">
        <f t="shared" ref="O40" si="34">SUM(O28:O39)</f>
        <v>-5.8125814679000003</v>
      </c>
      <c r="P40" s="23">
        <f t="shared" ref="P40" si="35">SUM(P28:P39)</f>
        <v>-5.8125814679000003</v>
      </c>
    </row>
    <row r="42" spans="2:27">
      <c r="B42" s="20" t="s">
        <v>266</v>
      </c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2:27">
      <c r="B43" s="130"/>
    </row>
    <row r="44" spans="2:27">
      <c r="C44" s="129" t="s">
        <v>260</v>
      </c>
      <c r="D44" s="129"/>
    </row>
    <row r="45" spans="2:27">
      <c r="B45" s="124">
        <f t="array" ref="B45:B56">TRANSPOSE($E$6:$P$6)</f>
        <v>41274</v>
      </c>
      <c r="C45" s="125">
        <v>200</v>
      </c>
      <c r="D45" s="10">
        <v>0</v>
      </c>
      <c r="E45" s="10">
        <f>$C45+E11+E28</f>
        <v>179</v>
      </c>
      <c r="F45" s="10">
        <f>E45+F11+F28</f>
        <v>137.21</v>
      </c>
      <c r="G45" s="10">
        <f t="shared" ref="G45:P54" si="36">F45+G11+G28</f>
        <v>95.837900000000005</v>
      </c>
      <c r="H45" s="10">
        <f t="shared" si="36"/>
        <v>54.879521000000004</v>
      </c>
      <c r="I45" s="10">
        <f t="shared" si="36"/>
        <v>14.330725790000004</v>
      </c>
      <c r="J45" s="10">
        <f t="shared" si="36"/>
        <v>0</v>
      </c>
      <c r="K45" s="10">
        <f t="shared" si="36"/>
        <v>0</v>
      </c>
      <c r="L45" s="10">
        <f t="shared" si="36"/>
        <v>0</v>
      </c>
      <c r="M45" s="10">
        <f t="shared" si="36"/>
        <v>0</v>
      </c>
      <c r="N45" s="10">
        <f t="shared" si="36"/>
        <v>0</v>
      </c>
      <c r="O45" s="10">
        <f t="shared" si="36"/>
        <v>0</v>
      </c>
      <c r="P45" s="10">
        <f t="shared" si="36"/>
        <v>0</v>
      </c>
    </row>
    <row r="46" spans="2:27">
      <c r="B46" s="124">
        <v>41639</v>
      </c>
      <c r="C46" s="126">
        <f>C45</f>
        <v>200</v>
      </c>
      <c r="D46" s="135"/>
      <c r="E46" s="10">
        <v>0</v>
      </c>
      <c r="F46" s="10">
        <f>$C46+F12+F29</f>
        <v>179</v>
      </c>
      <c r="G46" s="10">
        <f>F46+G12+G29</f>
        <v>137.21</v>
      </c>
      <c r="H46" s="10">
        <f t="shared" si="36"/>
        <v>95.837900000000005</v>
      </c>
      <c r="I46" s="10">
        <f t="shared" si="36"/>
        <v>54.879521000000004</v>
      </c>
      <c r="J46" s="10">
        <f t="shared" si="36"/>
        <v>14.330725790000004</v>
      </c>
      <c r="K46" s="10">
        <f t="shared" si="36"/>
        <v>0</v>
      </c>
      <c r="L46" s="10">
        <f t="shared" si="36"/>
        <v>0</v>
      </c>
      <c r="M46" s="10">
        <f t="shared" si="36"/>
        <v>0</v>
      </c>
      <c r="N46" s="10">
        <f t="shared" si="36"/>
        <v>0</v>
      </c>
      <c r="O46" s="10">
        <f t="shared" si="36"/>
        <v>0</v>
      </c>
      <c r="P46" s="10">
        <f t="shared" si="36"/>
        <v>0</v>
      </c>
    </row>
    <row r="47" spans="2:27">
      <c r="B47" s="124">
        <v>42004</v>
      </c>
      <c r="C47" s="126">
        <f t="shared" ref="C47:C56" si="37">C46</f>
        <v>200</v>
      </c>
      <c r="D47" s="135"/>
      <c r="E47" s="10"/>
      <c r="F47" s="10">
        <v>0</v>
      </c>
      <c r="G47" s="10">
        <f>$C47+G13+G30</f>
        <v>179</v>
      </c>
      <c r="H47" s="10">
        <f>G47+H13+H30</f>
        <v>137.21</v>
      </c>
      <c r="I47" s="10">
        <f t="shared" si="36"/>
        <v>95.837900000000005</v>
      </c>
      <c r="J47" s="10">
        <f t="shared" si="36"/>
        <v>54.879521000000004</v>
      </c>
      <c r="K47" s="10">
        <f t="shared" si="36"/>
        <v>14.330725790000004</v>
      </c>
      <c r="L47" s="10">
        <f t="shared" si="36"/>
        <v>0</v>
      </c>
      <c r="M47" s="10">
        <f t="shared" si="36"/>
        <v>0</v>
      </c>
      <c r="N47" s="10">
        <f t="shared" si="36"/>
        <v>0</v>
      </c>
      <c r="O47" s="10">
        <f t="shared" si="36"/>
        <v>0</v>
      </c>
      <c r="P47" s="10">
        <f t="shared" si="36"/>
        <v>0</v>
      </c>
    </row>
    <row r="48" spans="2:27">
      <c r="B48" s="124">
        <v>42369</v>
      </c>
      <c r="C48" s="126">
        <f t="shared" si="37"/>
        <v>200</v>
      </c>
      <c r="D48" s="135"/>
      <c r="E48" s="10"/>
      <c r="F48" s="10"/>
      <c r="G48" s="10">
        <v>0</v>
      </c>
      <c r="H48" s="10">
        <f>$C48+H14+H31</f>
        <v>179</v>
      </c>
      <c r="I48" s="10">
        <f>H48+I14+I31</f>
        <v>137.21</v>
      </c>
      <c r="J48" s="10">
        <f t="shared" si="36"/>
        <v>95.837900000000005</v>
      </c>
      <c r="K48" s="10">
        <f t="shared" si="36"/>
        <v>54.879521000000004</v>
      </c>
      <c r="L48" s="10">
        <f t="shared" si="36"/>
        <v>14.330725790000004</v>
      </c>
      <c r="M48" s="10">
        <f t="shared" si="36"/>
        <v>0</v>
      </c>
      <c r="N48" s="10">
        <f t="shared" si="36"/>
        <v>0</v>
      </c>
      <c r="O48" s="10">
        <f t="shared" si="36"/>
        <v>0</v>
      </c>
      <c r="P48" s="10">
        <f t="shared" si="36"/>
        <v>0</v>
      </c>
    </row>
    <row r="49" spans="2:16">
      <c r="B49" s="124">
        <v>42735</v>
      </c>
      <c r="C49" s="126">
        <f t="shared" si="37"/>
        <v>200</v>
      </c>
      <c r="D49" s="135"/>
      <c r="E49" s="10"/>
      <c r="F49" s="10"/>
      <c r="G49" s="10"/>
      <c r="H49" s="10">
        <v>0</v>
      </c>
      <c r="I49" s="10">
        <f>$C49+I15+I32</f>
        <v>179</v>
      </c>
      <c r="J49" s="10">
        <f>I49+J15+J32</f>
        <v>137.21</v>
      </c>
      <c r="K49" s="10">
        <f t="shared" si="36"/>
        <v>95.837900000000005</v>
      </c>
      <c r="L49" s="10">
        <f t="shared" si="36"/>
        <v>54.879521000000004</v>
      </c>
      <c r="M49" s="10">
        <f t="shared" si="36"/>
        <v>14.330725790000004</v>
      </c>
      <c r="N49" s="10">
        <f t="shared" si="36"/>
        <v>0</v>
      </c>
      <c r="O49" s="10">
        <f t="shared" si="36"/>
        <v>0</v>
      </c>
      <c r="P49" s="10">
        <f t="shared" si="36"/>
        <v>0</v>
      </c>
    </row>
    <row r="50" spans="2:16">
      <c r="B50" s="124">
        <v>43100</v>
      </c>
      <c r="C50" s="126">
        <f t="shared" si="37"/>
        <v>200</v>
      </c>
      <c r="D50" s="135"/>
      <c r="E50" s="10"/>
      <c r="F50" s="10"/>
      <c r="G50" s="10"/>
      <c r="H50" s="10"/>
      <c r="I50" s="10">
        <v>0</v>
      </c>
      <c r="J50" s="10">
        <f>$C50+J16+J33</f>
        <v>179</v>
      </c>
      <c r="K50" s="10">
        <f>J50+K16+K33</f>
        <v>137.21</v>
      </c>
      <c r="L50" s="10">
        <f t="shared" si="36"/>
        <v>95.837900000000005</v>
      </c>
      <c r="M50" s="10">
        <f t="shared" si="36"/>
        <v>54.879521000000004</v>
      </c>
      <c r="N50" s="10">
        <f t="shared" si="36"/>
        <v>14.330725790000004</v>
      </c>
      <c r="O50" s="10">
        <f t="shared" si="36"/>
        <v>0</v>
      </c>
      <c r="P50" s="10">
        <f t="shared" si="36"/>
        <v>0</v>
      </c>
    </row>
    <row r="51" spans="2:16">
      <c r="B51" s="124">
        <v>43465</v>
      </c>
      <c r="C51" s="126">
        <f t="shared" si="37"/>
        <v>200</v>
      </c>
      <c r="D51" s="135"/>
      <c r="E51" s="10"/>
      <c r="F51" s="10"/>
      <c r="G51" s="10"/>
      <c r="H51" s="10"/>
      <c r="I51" s="10"/>
      <c r="J51" s="10">
        <v>0</v>
      </c>
      <c r="K51" s="10">
        <f>$C51+K17+K34</f>
        <v>179</v>
      </c>
      <c r="L51" s="10">
        <f>K51+L17+L34</f>
        <v>137.21</v>
      </c>
      <c r="M51" s="10">
        <f t="shared" si="36"/>
        <v>95.837900000000005</v>
      </c>
      <c r="N51" s="10">
        <f t="shared" si="36"/>
        <v>54.879521000000004</v>
      </c>
      <c r="O51" s="10">
        <f t="shared" si="36"/>
        <v>14.330725790000004</v>
      </c>
      <c r="P51" s="10">
        <f t="shared" si="36"/>
        <v>0</v>
      </c>
    </row>
    <row r="52" spans="2:16">
      <c r="B52" s="124">
        <v>43830</v>
      </c>
      <c r="C52" s="126">
        <f t="shared" si="37"/>
        <v>200</v>
      </c>
      <c r="D52" s="135"/>
      <c r="E52" s="10"/>
      <c r="F52" s="10"/>
      <c r="G52" s="10"/>
      <c r="H52" s="10"/>
      <c r="I52" s="10"/>
      <c r="J52" s="10"/>
      <c r="K52" s="10">
        <v>0</v>
      </c>
      <c r="L52" s="10">
        <f>$C52+L18+L35</f>
        <v>179</v>
      </c>
      <c r="M52" s="10">
        <f>L52+M18+M35</f>
        <v>137.21</v>
      </c>
      <c r="N52" s="10">
        <f t="shared" si="36"/>
        <v>95.837900000000005</v>
      </c>
      <c r="O52" s="10">
        <f t="shared" si="36"/>
        <v>54.879521000000004</v>
      </c>
      <c r="P52" s="10">
        <f t="shared" si="36"/>
        <v>14.330725790000004</v>
      </c>
    </row>
    <row r="53" spans="2:16">
      <c r="B53" s="124">
        <v>44196</v>
      </c>
      <c r="C53" s="126">
        <f t="shared" si="37"/>
        <v>200</v>
      </c>
      <c r="D53" s="135"/>
      <c r="E53" s="10"/>
      <c r="F53" s="10"/>
      <c r="G53" s="10"/>
      <c r="H53" s="10"/>
      <c r="I53" s="10"/>
      <c r="J53" s="10"/>
      <c r="K53" s="10"/>
      <c r="L53" s="10">
        <v>0</v>
      </c>
      <c r="M53" s="10">
        <f>$C53+M19+M36</f>
        <v>179</v>
      </c>
      <c r="N53" s="10">
        <f>M53+N19+N36</f>
        <v>137.21</v>
      </c>
      <c r="O53" s="10">
        <f t="shared" si="36"/>
        <v>95.837900000000005</v>
      </c>
      <c r="P53" s="10">
        <f t="shared" si="36"/>
        <v>54.879521000000004</v>
      </c>
    </row>
    <row r="54" spans="2:16">
      <c r="B54" s="124">
        <v>44561</v>
      </c>
      <c r="C54" s="126">
        <f t="shared" si="37"/>
        <v>200</v>
      </c>
      <c r="D54" s="135"/>
      <c r="E54" s="10"/>
      <c r="F54" s="10"/>
      <c r="G54" s="10"/>
      <c r="H54" s="10"/>
      <c r="I54" s="10"/>
      <c r="J54" s="10"/>
      <c r="K54" s="10"/>
      <c r="L54" s="10"/>
      <c r="M54" s="10">
        <v>0</v>
      </c>
      <c r="N54" s="10">
        <f>$C54+N20+N37</f>
        <v>179</v>
      </c>
      <c r="O54" s="10">
        <f>N54+O20+O37</f>
        <v>137.21</v>
      </c>
      <c r="P54" s="10">
        <f t="shared" si="36"/>
        <v>95.837900000000005</v>
      </c>
    </row>
    <row r="55" spans="2:16">
      <c r="B55" s="124">
        <v>44926</v>
      </c>
      <c r="C55" s="126">
        <f t="shared" si="37"/>
        <v>200</v>
      </c>
      <c r="D55" s="135"/>
      <c r="E55" s="10"/>
      <c r="F55" s="10"/>
      <c r="G55" s="10"/>
      <c r="H55" s="10"/>
      <c r="I55" s="10"/>
      <c r="J55" s="10"/>
      <c r="K55" s="10"/>
      <c r="L55" s="10"/>
      <c r="M55" s="10"/>
      <c r="N55" s="10">
        <v>0</v>
      </c>
      <c r="O55" s="10">
        <f>$C55+O21+O38</f>
        <v>179</v>
      </c>
      <c r="P55" s="10">
        <f>O55+P21+P38</f>
        <v>137.21</v>
      </c>
    </row>
    <row r="56" spans="2:16">
      <c r="B56" s="124">
        <v>45291</v>
      </c>
      <c r="C56" s="126">
        <f t="shared" si="37"/>
        <v>200</v>
      </c>
      <c r="D56" s="135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>
        <v>0</v>
      </c>
      <c r="P56" s="10">
        <f>$C56+P22+P39</f>
        <v>179</v>
      </c>
    </row>
    <row r="57" spans="2:16">
      <c r="B57" s="4" t="s">
        <v>267</v>
      </c>
      <c r="E57" s="23">
        <f>SUM(E45:E56)</f>
        <v>179</v>
      </c>
      <c r="F57" s="23">
        <f t="shared" ref="F57:P57" si="38">SUM(F45:F56)</f>
        <v>316.21000000000004</v>
      </c>
      <c r="G57" s="23">
        <f t="shared" si="38"/>
        <v>412.04790000000003</v>
      </c>
      <c r="H57" s="23">
        <f t="shared" si="38"/>
        <v>466.92742099999998</v>
      </c>
      <c r="I57" s="23">
        <f t="shared" si="38"/>
        <v>481.25814679000007</v>
      </c>
      <c r="J57" s="23">
        <f t="shared" si="38"/>
        <v>481.25814679000007</v>
      </c>
      <c r="K57" s="23">
        <f t="shared" si="38"/>
        <v>481.25814679000007</v>
      </c>
      <c r="L57" s="23">
        <f t="shared" si="38"/>
        <v>481.25814679000007</v>
      </c>
      <c r="M57" s="23">
        <f t="shared" si="38"/>
        <v>481.25814679000007</v>
      </c>
      <c r="N57" s="23">
        <f t="shared" si="38"/>
        <v>481.25814679000007</v>
      </c>
      <c r="O57" s="23">
        <f t="shared" si="38"/>
        <v>481.25814679000007</v>
      </c>
      <c r="P57" s="23">
        <f t="shared" si="38"/>
        <v>481.25814679000007</v>
      </c>
    </row>
    <row r="59" spans="2:16">
      <c r="B59" s="20" t="s">
        <v>8</v>
      </c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2:16">
      <c r="B60" s="130"/>
    </row>
    <row r="61" spans="2:16">
      <c r="D61" s="129"/>
    </row>
    <row r="62" spans="2:16">
      <c r="B62" s="124">
        <f t="array" ref="B62:B73">TRANSPOSE($E$6:$P$6)</f>
        <v>41274</v>
      </c>
      <c r="D62" s="127"/>
      <c r="E62" s="12">
        <f t="shared" ref="E62:P62" si="39">AVERAGE(D45:E45)</f>
        <v>89.5</v>
      </c>
      <c r="F62" s="12">
        <f t="shared" si="39"/>
        <v>158.10500000000002</v>
      </c>
      <c r="G62" s="12">
        <f t="shared" si="39"/>
        <v>116.52395000000001</v>
      </c>
      <c r="H62" s="12">
        <f t="shared" si="39"/>
        <v>75.358710500000001</v>
      </c>
      <c r="I62" s="12">
        <f t="shared" si="39"/>
        <v>34.605123395000007</v>
      </c>
      <c r="J62" s="12">
        <f t="shared" si="39"/>
        <v>7.1653628950000021</v>
      </c>
      <c r="K62" s="12">
        <f t="shared" si="39"/>
        <v>0</v>
      </c>
      <c r="L62" s="12">
        <f t="shared" si="39"/>
        <v>0</v>
      </c>
      <c r="M62" s="12">
        <f t="shared" si="39"/>
        <v>0</v>
      </c>
      <c r="N62" s="12">
        <f t="shared" si="39"/>
        <v>0</v>
      </c>
      <c r="O62" s="12">
        <f t="shared" si="39"/>
        <v>0</v>
      </c>
      <c r="P62" s="12">
        <f t="shared" si="39"/>
        <v>0</v>
      </c>
    </row>
    <row r="63" spans="2:16">
      <c r="B63" s="124">
        <v>41639</v>
      </c>
      <c r="D63" s="128"/>
      <c r="F63" s="12">
        <f t="shared" ref="F63:P63" si="40">AVERAGE(E46:F46)</f>
        <v>89.5</v>
      </c>
      <c r="G63" s="12">
        <f t="shared" si="40"/>
        <v>158.10500000000002</v>
      </c>
      <c r="H63" s="12">
        <f t="shared" si="40"/>
        <v>116.52395000000001</v>
      </c>
      <c r="I63" s="12">
        <f t="shared" si="40"/>
        <v>75.358710500000001</v>
      </c>
      <c r="J63" s="12">
        <f t="shared" si="40"/>
        <v>34.605123395000007</v>
      </c>
      <c r="K63" s="12">
        <f t="shared" si="40"/>
        <v>7.1653628950000021</v>
      </c>
      <c r="L63" s="12">
        <f t="shared" si="40"/>
        <v>0</v>
      </c>
      <c r="M63" s="12">
        <f t="shared" si="40"/>
        <v>0</v>
      </c>
      <c r="N63" s="12">
        <f t="shared" si="40"/>
        <v>0</v>
      </c>
      <c r="O63" s="12">
        <f t="shared" si="40"/>
        <v>0</v>
      </c>
      <c r="P63" s="12">
        <f t="shared" si="40"/>
        <v>0</v>
      </c>
    </row>
    <row r="64" spans="2:16">
      <c r="B64" s="124">
        <v>42004</v>
      </c>
      <c r="D64" s="128"/>
      <c r="G64" s="12">
        <f t="shared" ref="G64:P64" si="41">AVERAGE(F47:G47)</f>
        <v>89.5</v>
      </c>
      <c r="H64" s="12">
        <f t="shared" si="41"/>
        <v>158.10500000000002</v>
      </c>
      <c r="I64" s="12">
        <f t="shared" si="41"/>
        <v>116.52395000000001</v>
      </c>
      <c r="J64" s="12">
        <f t="shared" si="41"/>
        <v>75.358710500000001</v>
      </c>
      <c r="K64" s="12">
        <f t="shared" si="41"/>
        <v>34.605123395000007</v>
      </c>
      <c r="L64" s="12">
        <f t="shared" si="41"/>
        <v>7.1653628950000021</v>
      </c>
      <c r="M64" s="12">
        <f t="shared" si="41"/>
        <v>0</v>
      </c>
      <c r="N64" s="12">
        <f t="shared" si="41"/>
        <v>0</v>
      </c>
      <c r="O64" s="12">
        <f t="shared" si="41"/>
        <v>0</v>
      </c>
      <c r="P64" s="12">
        <f t="shared" si="41"/>
        <v>0</v>
      </c>
    </row>
    <row r="65" spans="2:16">
      <c r="B65" s="124">
        <v>42369</v>
      </c>
      <c r="D65" s="128"/>
      <c r="H65" s="12">
        <f t="shared" ref="H65:P65" si="42">AVERAGE(G48:H48)</f>
        <v>89.5</v>
      </c>
      <c r="I65" s="12">
        <f t="shared" si="42"/>
        <v>158.10500000000002</v>
      </c>
      <c r="J65" s="12">
        <f t="shared" si="42"/>
        <v>116.52395000000001</v>
      </c>
      <c r="K65" s="12">
        <f t="shared" si="42"/>
        <v>75.358710500000001</v>
      </c>
      <c r="L65" s="12">
        <f t="shared" si="42"/>
        <v>34.605123395000007</v>
      </c>
      <c r="M65" s="12">
        <f t="shared" si="42"/>
        <v>7.1653628950000021</v>
      </c>
      <c r="N65" s="12">
        <f t="shared" si="42"/>
        <v>0</v>
      </c>
      <c r="O65" s="12">
        <f t="shared" si="42"/>
        <v>0</v>
      </c>
      <c r="P65" s="12">
        <f t="shared" si="42"/>
        <v>0</v>
      </c>
    </row>
    <row r="66" spans="2:16">
      <c r="B66" s="124">
        <v>42735</v>
      </c>
      <c r="D66" s="128"/>
      <c r="I66" s="12">
        <f t="shared" ref="I66:P66" si="43">AVERAGE(H49:I49)</f>
        <v>89.5</v>
      </c>
      <c r="J66" s="12">
        <f t="shared" si="43"/>
        <v>158.10500000000002</v>
      </c>
      <c r="K66" s="12">
        <f t="shared" si="43"/>
        <v>116.52395000000001</v>
      </c>
      <c r="L66" s="12">
        <f t="shared" si="43"/>
        <v>75.358710500000001</v>
      </c>
      <c r="M66" s="12">
        <f t="shared" si="43"/>
        <v>34.605123395000007</v>
      </c>
      <c r="N66" s="12">
        <f t="shared" si="43"/>
        <v>7.1653628950000021</v>
      </c>
      <c r="O66" s="12">
        <f t="shared" si="43"/>
        <v>0</v>
      </c>
      <c r="P66" s="12">
        <f t="shared" si="43"/>
        <v>0</v>
      </c>
    </row>
    <row r="67" spans="2:16">
      <c r="B67" s="124">
        <v>43100</v>
      </c>
      <c r="D67" s="128"/>
      <c r="J67" s="12">
        <f t="shared" ref="J67:P67" si="44">AVERAGE(I50:J50)</f>
        <v>89.5</v>
      </c>
      <c r="K67" s="12">
        <f t="shared" si="44"/>
        <v>158.10500000000002</v>
      </c>
      <c r="L67" s="12">
        <f t="shared" si="44"/>
        <v>116.52395000000001</v>
      </c>
      <c r="M67" s="12">
        <f t="shared" si="44"/>
        <v>75.358710500000001</v>
      </c>
      <c r="N67" s="12">
        <f t="shared" si="44"/>
        <v>34.605123395000007</v>
      </c>
      <c r="O67" s="12">
        <f t="shared" si="44"/>
        <v>7.1653628950000021</v>
      </c>
      <c r="P67" s="12">
        <f t="shared" si="44"/>
        <v>0</v>
      </c>
    </row>
    <row r="68" spans="2:16">
      <c r="B68" s="124">
        <v>43465</v>
      </c>
      <c r="D68" s="128"/>
      <c r="K68" s="12">
        <f t="shared" ref="K68:P68" si="45">AVERAGE(J51:K51)</f>
        <v>89.5</v>
      </c>
      <c r="L68" s="12">
        <f t="shared" si="45"/>
        <v>158.10500000000002</v>
      </c>
      <c r="M68" s="12">
        <f t="shared" si="45"/>
        <v>116.52395000000001</v>
      </c>
      <c r="N68" s="12">
        <f t="shared" si="45"/>
        <v>75.358710500000001</v>
      </c>
      <c r="O68" s="12">
        <f t="shared" si="45"/>
        <v>34.605123395000007</v>
      </c>
      <c r="P68" s="12">
        <f t="shared" si="45"/>
        <v>7.1653628950000021</v>
      </c>
    </row>
    <row r="69" spans="2:16">
      <c r="B69" s="124">
        <v>43830</v>
      </c>
      <c r="D69" s="128"/>
      <c r="L69" s="12">
        <f>AVERAGE(K52:L52)</f>
        <v>89.5</v>
      </c>
      <c r="M69" s="12">
        <f>AVERAGE(L52:M52)</f>
        <v>158.10500000000002</v>
      </c>
      <c r="N69" s="12">
        <f>AVERAGE(M52:N52)</f>
        <v>116.52395000000001</v>
      </c>
      <c r="O69" s="12">
        <f>AVERAGE(N52:O52)</f>
        <v>75.358710500000001</v>
      </c>
      <c r="P69" s="12">
        <f>AVERAGE(O52:P52)</f>
        <v>34.605123395000007</v>
      </c>
    </row>
    <row r="70" spans="2:16">
      <c r="B70" s="124">
        <v>44196</v>
      </c>
      <c r="D70" s="128"/>
      <c r="M70" s="12">
        <f>AVERAGE(L53:M53)</f>
        <v>89.5</v>
      </c>
      <c r="N70" s="12">
        <f>AVERAGE(M53:N53)</f>
        <v>158.10500000000002</v>
      </c>
      <c r="O70" s="12">
        <f>AVERAGE(N53:O53)</f>
        <v>116.52395000000001</v>
      </c>
      <c r="P70" s="12">
        <f>AVERAGE(O53:P53)</f>
        <v>75.358710500000001</v>
      </c>
    </row>
    <row r="71" spans="2:16">
      <c r="B71" s="124">
        <v>44561</v>
      </c>
      <c r="D71" s="128"/>
      <c r="N71" s="12">
        <f>AVERAGE(M54:N54)</f>
        <v>89.5</v>
      </c>
      <c r="O71" s="12">
        <f>AVERAGE(N54:O54)</f>
        <v>158.10500000000002</v>
      </c>
      <c r="P71" s="12">
        <f>AVERAGE(O54:P54)</f>
        <v>116.52395000000001</v>
      </c>
    </row>
    <row r="72" spans="2:16">
      <c r="B72" s="124">
        <v>44926</v>
      </c>
      <c r="D72" s="128"/>
      <c r="O72" s="12">
        <f>AVERAGE(N55:O55)</f>
        <v>89.5</v>
      </c>
      <c r="P72" s="12">
        <f>AVERAGE(O55:P55)</f>
        <v>158.10500000000002</v>
      </c>
    </row>
    <row r="73" spans="2:16">
      <c r="B73" s="124">
        <v>45291</v>
      </c>
      <c r="D73" s="128"/>
      <c r="P73" s="12">
        <f>AVERAGE(O56:P56)</f>
        <v>89.5</v>
      </c>
    </row>
    <row r="74" spans="2:16">
      <c r="B74" s="4" t="s">
        <v>269</v>
      </c>
      <c r="E74" s="23">
        <f>SUM(E62:E73)</f>
        <v>89.5</v>
      </c>
      <c r="F74" s="23">
        <f t="shared" ref="F74" si="46">SUM(F62:F73)</f>
        <v>247.60500000000002</v>
      </c>
      <c r="G74" s="23">
        <f t="shared" ref="G74" si="47">SUM(G62:G73)</f>
        <v>364.12895000000003</v>
      </c>
      <c r="H74" s="23">
        <f t="shared" ref="H74" si="48">SUM(H62:H73)</f>
        <v>439.48766050000006</v>
      </c>
      <c r="I74" s="23">
        <f t="shared" ref="I74" si="49">SUM(I62:I73)</f>
        <v>474.09278389500003</v>
      </c>
      <c r="J74" s="23">
        <f t="shared" ref="J74" si="50">SUM(J62:J73)</f>
        <v>481.25814679000007</v>
      </c>
      <c r="K74" s="23">
        <f t="shared" ref="K74" si="51">SUM(K62:K73)</f>
        <v>481.25814679000007</v>
      </c>
      <c r="L74" s="23">
        <f t="shared" ref="L74" si="52">SUM(L62:L73)</f>
        <v>481.25814679000007</v>
      </c>
      <c r="M74" s="23">
        <f t="shared" ref="M74" si="53">SUM(M62:M73)</f>
        <v>481.25814679000007</v>
      </c>
      <c r="N74" s="23">
        <f t="shared" ref="N74" si="54">SUM(N62:N73)</f>
        <v>481.25814679000007</v>
      </c>
      <c r="O74" s="23">
        <f t="shared" ref="O74" si="55">SUM(O62:O73)</f>
        <v>481.25814679000007</v>
      </c>
      <c r="P74" s="23">
        <f t="shared" ref="P74" si="56">SUM(P62:P73)</f>
        <v>481.25814679000007</v>
      </c>
    </row>
    <row r="76" spans="2:16">
      <c r="B76" s="20" t="s">
        <v>13</v>
      </c>
      <c r="C76" s="20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2:16">
      <c r="B77" s="130"/>
    </row>
    <row r="78" spans="2:16">
      <c r="C78" s="129" t="s">
        <v>270</v>
      </c>
      <c r="D78" s="129"/>
    </row>
    <row r="79" spans="2:16">
      <c r="B79" s="124">
        <f t="array" ref="B79:B90">TRANSPOSE($E$6:$P$6)</f>
        <v>41274</v>
      </c>
      <c r="C79" s="132">
        <v>5.5E-2</v>
      </c>
      <c r="D79" s="127"/>
      <c r="E79" s="12">
        <f t="shared" ref="E79:P79" si="57">$C79*E62</f>
        <v>4.9225000000000003</v>
      </c>
      <c r="F79" s="12">
        <f t="shared" si="57"/>
        <v>8.6957750000000011</v>
      </c>
      <c r="G79" s="12">
        <f t="shared" si="57"/>
        <v>6.4088172500000011</v>
      </c>
      <c r="H79" s="12">
        <f t="shared" si="57"/>
        <v>4.1447290775000001</v>
      </c>
      <c r="I79" s="12">
        <f t="shared" si="57"/>
        <v>1.9032817867250005</v>
      </c>
      <c r="J79" s="12">
        <f t="shared" si="57"/>
        <v>0.3940949592250001</v>
      </c>
      <c r="K79" s="12">
        <f t="shared" si="57"/>
        <v>0</v>
      </c>
      <c r="L79" s="12">
        <f t="shared" si="57"/>
        <v>0</v>
      </c>
      <c r="M79" s="12">
        <f t="shared" si="57"/>
        <v>0</v>
      </c>
      <c r="N79" s="12">
        <f t="shared" si="57"/>
        <v>0</v>
      </c>
      <c r="O79" s="12">
        <f t="shared" si="57"/>
        <v>0</v>
      </c>
      <c r="P79" s="12">
        <f t="shared" si="57"/>
        <v>0</v>
      </c>
    </row>
    <row r="80" spans="2:16">
      <c r="B80" s="124">
        <v>41639</v>
      </c>
      <c r="C80" s="134">
        <f>C79</f>
        <v>5.5E-2</v>
      </c>
      <c r="D80" s="128"/>
      <c r="F80" s="12">
        <f t="shared" ref="F80:P80" si="58">$C80*F63</f>
        <v>4.9225000000000003</v>
      </c>
      <c r="G80" s="12">
        <f t="shared" si="58"/>
        <v>8.6957750000000011</v>
      </c>
      <c r="H80" s="12">
        <f t="shared" si="58"/>
        <v>6.4088172500000011</v>
      </c>
      <c r="I80" s="12">
        <f t="shared" si="58"/>
        <v>4.1447290775000001</v>
      </c>
      <c r="J80" s="12">
        <f t="shared" si="58"/>
        <v>1.9032817867250005</v>
      </c>
      <c r="K80" s="12">
        <f t="shared" si="58"/>
        <v>0.3940949592250001</v>
      </c>
      <c r="L80" s="12">
        <f t="shared" si="58"/>
        <v>0</v>
      </c>
      <c r="M80" s="12">
        <f t="shared" si="58"/>
        <v>0</v>
      </c>
      <c r="N80" s="12">
        <f t="shared" si="58"/>
        <v>0</v>
      </c>
      <c r="O80" s="12">
        <f t="shared" si="58"/>
        <v>0</v>
      </c>
      <c r="P80" s="12">
        <f t="shared" si="58"/>
        <v>0</v>
      </c>
    </row>
    <row r="81" spans="2:16">
      <c r="B81" s="124">
        <v>42004</v>
      </c>
      <c r="C81" s="134">
        <f t="shared" ref="C81:C90" si="59">C80</f>
        <v>5.5E-2</v>
      </c>
      <c r="D81" s="128"/>
      <c r="G81" s="12">
        <f t="shared" ref="G81:P81" si="60">$C81*G64</f>
        <v>4.9225000000000003</v>
      </c>
      <c r="H81" s="12">
        <f t="shared" si="60"/>
        <v>8.6957750000000011</v>
      </c>
      <c r="I81" s="12">
        <f t="shared" si="60"/>
        <v>6.4088172500000011</v>
      </c>
      <c r="J81" s="12">
        <f t="shared" si="60"/>
        <v>4.1447290775000001</v>
      </c>
      <c r="K81" s="12">
        <f t="shared" si="60"/>
        <v>1.9032817867250005</v>
      </c>
      <c r="L81" s="12">
        <f t="shared" si="60"/>
        <v>0.3940949592250001</v>
      </c>
      <c r="M81" s="12">
        <f t="shared" si="60"/>
        <v>0</v>
      </c>
      <c r="N81" s="12">
        <f t="shared" si="60"/>
        <v>0</v>
      </c>
      <c r="O81" s="12">
        <f t="shared" si="60"/>
        <v>0</v>
      </c>
      <c r="P81" s="12">
        <f t="shared" si="60"/>
        <v>0</v>
      </c>
    </row>
    <row r="82" spans="2:16">
      <c r="B82" s="124">
        <v>42369</v>
      </c>
      <c r="C82" s="134">
        <f t="shared" si="59"/>
        <v>5.5E-2</v>
      </c>
      <c r="D82" s="128"/>
      <c r="H82" s="12">
        <f t="shared" ref="H82:P82" si="61">$C82*H65</f>
        <v>4.9225000000000003</v>
      </c>
      <c r="I82" s="12">
        <f t="shared" si="61"/>
        <v>8.6957750000000011</v>
      </c>
      <c r="J82" s="12">
        <f t="shared" si="61"/>
        <v>6.4088172500000011</v>
      </c>
      <c r="K82" s="12">
        <f t="shared" si="61"/>
        <v>4.1447290775000001</v>
      </c>
      <c r="L82" s="12">
        <f t="shared" si="61"/>
        <v>1.9032817867250005</v>
      </c>
      <c r="M82" s="12">
        <f t="shared" si="61"/>
        <v>0.3940949592250001</v>
      </c>
      <c r="N82" s="12">
        <f t="shared" si="61"/>
        <v>0</v>
      </c>
      <c r="O82" s="12">
        <f t="shared" si="61"/>
        <v>0</v>
      </c>
      <c r="P82" s="12">
        <f t="shared" si="61"/>
        <v>0</v>
      </c>
    </row>
    <row r="83" spans="2:16">
      <c r="B83" s="124">
        <v>42735</v>
      </c>
      <c r="C83" s="134">
        <f t="shared" si="59"/>
        <v>5.5E-2</v>
      </c>
      <c r="D83" s="128"/>
      <c r="I83" s="12">
        <f t="shared" ref="I83:P83" si="62">$C83*I66</f>
        <v>4.9225000000000003</v>
      </c>
      <c r="J83" s="12">
        <f t="shared" si="62"/>
        <v>8.6957750000000011</v>
      </c>
      <c r="K83" s="12">
        <f t="shared" si="62"/>
        <v>6.4088172500000011</v>
      </c>
      <c r="L83" s="12">
        <f t="shared" si="62"/>
        <v>4.1447290775000001</v>
      </c>
      <c r="M83" s="12">
        <f t="shared" si="62"/>
        <v>1.9032817867250005</v>
      </c>
      <c r="N83" s="12">
        <f t="shared" si="62"/>
        <v>0.3940949592250001</v>
      </c>
      <c r="O83" s="12">
        <f t="shared" si="62"/>
        <v>0</v>
      </c>
      <c r="P83" s="12">
        <f t="shared" si="62"/>
        <v>0</v>
      </c>
    </row>
    <row r="84" spans="2:16">
      <c r="B84" s="124">
        <v>43100</v>
      </c>
      <c r="C84" s="134">
        <f t="shared" si="59"/>
        <v>5.5E-2</v>
      </c>
      <c r="D84" s="128"/>
      <c r="J84" s="12">
        <f t="shared" ref="J84:P84" si="63">$C84*J67</f>
        <v>4.9225000000000003</v>
      </c>
      <c r="K84" s="12">
        <f t="shared" si="63"/>
        <v>8.6957750000000011</v>
      </c>
      <c r="L84" s="12">
        <f t="shared" si="63"/>
        <v>6.4088172500000011</v>
      </c>
      <c r="M84" s="12">
        <f t="shared" si="63"/>
        <v>4.1447290775000001</v>
      </c>
      <c r="N84" s="12">
        <f t="shared" si="63"/>
        <v>1.9032817867250005</v>
      </c>
      <c r="O84" s="12">
        <f t="shared" si="63"/>
        <v>0.3940949592250001</v>
      </c>
      <c r="P84" s="12">
        <f t="shared" si="63"/>
        <v>0</v>
      </c>
    </row>
    <row r="85" spans="2:16">
      <c r="B85" s="124">
        <v>43465</v>
      </c>
      <c r="C85" s="134">
        <f t="shared" si="59"/>
        <v>5.5E-2</v>
      </c>
      <c r="D85" s="128"/>
      <c r="K85" s="12">
        <f t="shared" ref="K85:P85" si="64">$C85*K68</f>
        <v>4.9225000000000003</v>
      </c>
      <c r="L85" s="12">
        <f t="shared" si="64"/>
        <v>8.6957750000000011</v>
      </c>
      <c r="M85" s="12">
        <f t="shared" si="64"/>
        <v>6.4088172500000011</v>
      </c>
      <c r="N85" s="12">
        <f t="shared" si="64"/>
        <v>4.1447290775000001</v>
      </c>
      <c r="O85" s="12">
        <f t="shared" si="64"/>
        <v>1.9032817867250005</v>
      </c>
      <c r="P85" s="12">
        <f t="shared" si="64"/>
        <v>0.3940949592250001</v>
      </c>
    </row>
    <row r="86" spans="2:16">
      <c r="B86" s="124">
        <v>43830</v>
      </c>
      <c r="C86" s="134">
        <f t="shared" si="59"/>
        <v>5.5E-2</v>
      </c>
      <c r="D86" s="128"/>
      <c r="L86" s="12">
        <f>$C86*L69</f>
        <v>4.9225000000000003</v>
      </c>
      <c r="M86" s="12">
        <f>$C86*M69</f>
        <v>8.6957750000000011</v>
      </c>
      <c r="N86" s="12">
        <f>$C86*N69</f>
        <v>6.4088172500000011</v>
      </c>
      <c r="O86" s="12">
        <f>$C86*O69</f>
        <v>4.1447290775000001</v>
      </c>
      <c r="P86" s="12">
        <f>$C86*P69</f>
        <v>1.9032817867250005</v>
      </c>
    </row>
    <row r="87" spans="2:16">
      <c r="B87" s="124">
        <v>44196</v>
      </c>
      <c r="C87" s="134">
        <f t="shared" si="59"/>
        <v>5.5E-2</v>
      </c>
      <c r="D87" s="128"/>
      <c r="M87" s="12">
        <f>$C87*M70</f>
        <v>4.9225000000000003</v>
      </c>
      <c r="N87" s="12">
        <f>$C87*N70</f>
        <v>8.6957750000000011</v>
      </c>
      <c r="O87" s="12">
        <f>$C87*O70</f>
        <v>6.4088172500000011</v>
      </c>
      <c r="P87" s="12">
        <f>$C87*P70</f>
        <v>4.1447290775000001</v>
      </c>
    </row>
    <row r="88" spans="2:16">
      <c r="B88" s="124">
        <v>44561</v>
      </c>
      <c r="C88" s="134">
        <f t="shared" si="59"/>
        <v>5.5E-2</v>
      </c>
      <c r="D88" s="128"/>
      <c r="N88" s="12">
        <f>$C88*N71</f>
        <v>4.9225000000000003</v>
      </c>
      <c r="O88" s="12">
        <f>$C88*O71</f>
        <v>8.6957750000000011</v>
      </c>
      <c r="P88" s="12">
        <f>$C88*P71</f>
        <v>6.4088172500000011</v>
      </c>
    </row>
    <row r="89" spans="2:16">
      <c r="B89" s="124">
        <v>44926</v>
      </c>
      <c r="C89" s="134">
        <f t="shared" si="59"/>
        <v>5.5E-2</v>
      </c>
      <c r="D89" s="128"/>
      <c r="O89" s="12">
        <f>$C89*O72</f>
        <v>4.9225000000000003</v>
      </c>
      <c r="P89" s="12">
        <f>$C89*P72</f>
        <v>8.6957750000000011</v>
      </c>
    </row>
    <row r="90" spans="2:16">
      <c r="B90" s="124">
        <v>45291</v>
      </c>
      <c r="C90" s="134">
        <f t="shared" si="59"/>
        <v>5.5E-2</v>
      </c>
      <c r="D90" s="128"/>
      <c r="P90" s="12">
        <f>$C90*P73</f>
        <v>4.9225000000000003</v>
      </c>
    </row>
    <row r="91" spans="2:16">
      <c r="B91" s="4" t="s">
        <v>272</v>
      </c>
      <c r="E91" s="23">
        <f>SUM(E79:E90)</f>
        <v>4.9225000000000003</v>
      </c>
      <c r="F91" s="23">
        <f t="shared" ref="F91" si="65">SUM(F79:F90)</f>
        <v>13.618275000000001</v>
      </c>
      <c r="G91" s="23">
        <f t="shared" ref="G91" si="66">SUM(G79:G90)</f>
        <v>20.027092250000003</v>
      </c>
      <c r="H91" s="23">
        <f t="shared" ref="H91" si="67">SUM(H79:H90)</f>
        <v>24.171821327500002</v>
      </c>
      <c r="I91" s="23">
        <f t="shared" ref="I91" si="68">SUM(I79:I90)</f>
        <v>26.075103114225001</v>
      </c>
      <c r="J91" s="23">
        <f t="shared" ref="J91" si="69">SUM(J79:J90)</f>
        <v>26.469198073450002</v>
      </c>
      <c r="K91" s="23">
        <f t="shared" ref="K91" si="70">SUM(K79:K90)</f>
        <v>26.469198073450002</v>
      </c>
      <c r="L91" s="23">
        <f t="shared" ref="L91" si="71">SUM(L79:L90)</f>
        <v>26.469198073450002</v>
      </c>
      <c r="M91" s="23">
        <f t="shared" ref="M91" si="72">SUM(M79:M90)</f>
        <v>26.469198073450002</v>
      </c>
      <c r="N91" s="23">
        <f t="shared" ref="N91" si="73">SUM(N79:N90)</f>
        <v>26.469198073450002</v>
      </c>
      <c r="O91" s="23">
        <f t="shared" ref="O91" si="74">SUM(O79:O90)</f>
        <v>26.469198073450002</v>
      </c>
      <c r="P91" s="23">
        <f t="shared" ref="P91" si="75">SUM(P79:P90)</f>
        <v>26.469198073450002</v>
      </c>
    </row>
  </sheetData>
  <pageMargins left="0.7" right="0.7" top="0.75" bottom="0.75" header="0.3" footer="0.3"/>
  <pageSetup scale="59" orientation="landscape" r:id="rId1"/>
  <headerFooter>
    <oddHeader>&amp;RSTRICTLY CONFIDENTIAL</oddHeader>
    <oddFooter>&amp;LPage &amp;P of &amp;N&amp;RSTORMHARBOUR SECURITIES LP</oddFooter>
  </headerFooter>
  <rowBreaks count="10" manualBreakCount="10">
    <brk id="128" max="16" man="1"/>
    <brk id="156" max="16" man="1"/>
    <brk id="207" max="16" man="1"/>
    <brk id="257" max="16" man="1"/>
    <brk id="278" max="16" man="1"/>
    <brk id="321" max="16" man="1"/>
    <brk id="346" max="16" man="1"/>
    <brk id="399" max="16" man="1"/>
    <brk id="416" max="16" man="1"/>
    <brk id="463" max="1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showGridLines="0" zoomScale="85" zoomScaleNormal="85" workbookViewId="0">
      <selection activeCell="B1" sqref="B1"/>
    </sheetView>
  </sheetViews>
  <sheetFormatPr baseColWidth="10" defaultColWidth="8.83203125" defaultRowHeight="15"/>
  <cols>
    <col min="1" max="1" width="1.33203125" customWidth="1"/>
    <col min="2" max="2" width="31.1640625" customWidth="1"/>
    <col min="3" max="8" width="9.6640625" customWidth="1"/>
    <col min="9" max="10" width="0.6640625" customWidth="1"/>
    <col min="11" max="11" width="6.6640625" customWidth="1"/>
    <col min="12" max="12" width="8.5" customWidth="1"/>
  </cols>
  <sheetData>
    <row r="1" spans="1:12" s="1" customFormat="1" ht="21" thickBot="1">
      <c r="B1" s="1" t="s">
        <v>0</v>
      </c>
      <c r="J1"/>
    </row>
    <row r="2" spans="1:12" ht="16" thickTop="1">
      <c r="B2" s="27" t="s">
        <v>223</v>
      </c>
    </row>
    <row r="4" spans="1:12">
      <c r="A4" s="80" t="s">
        <v>224</v>
      </c>
      <c r="L4" s="80" t="s">
        <v>224</v>
      </c>
    </row>
    <row r="5" spans="1:12" ht="13.5" customHeight="1">
      <c r="A5" s="89"/>
      <c r="B5" s="90"/>
      <c r="C5" s="91" t="s">
        <v>225</v>
      </c>
      <c r="D5" s="91"/>
      <c r="E5" s="91"/>
      <c r="F5" s="91"/>
      <c r="G5" s="91"/>
      <c r="H5" s="91"/>
      <c r="I5" s="89"/>
      <c r="J5" s="89"/>
      <c r="K5" s="103" t="s">
        <v>228</v>
      </c>
    </row>
    <row r="6" spans="1:12" ht="12" customHeight="1">
      <c r="A6" s="89"/>
      <c r="B6" s="92" t="s">
        <v>227</v>
      </c>
      <c r="C6" s="93">
        <v>2013</v>
      </c>
      <c r="D6" s="93">
        <f>C6+1</f>
        <v>2014</v>
      </c>
      <c r="E6" s="93">
        <f>D6+1</f>
        <v>2015</v>
      </c>
      <c r="F6" s="93">
        <f>E6+1</f>
        <v>2016</v>
      </c>
      <c r="G6" s="93">
        <f>F6+1</f>
        <v>2017</v>
      </c>
      <c r="H6" s="93">
        <f>G6+1</f>
        <v>2018</v>
      </c>
      <c r="I6" s="94"/>
      <c r="J6" s="89"/>
      <c r="K6" s="93" t="s">
        <v>229</v>
      </c>
    </row>
    <row r="7" spans="1:12" ht="3.75" customHeight="1">
      <c r="B7" s="95"/>
      <c r="C7" s="96"/>
      <c r="D7" s="96"/>
      <c r="E7" s="96"/>
      <c r="F7" s="96"/>
      <c r="G7" s="96"/>
      <c r="H7" s="96"/>
      <c r="I7" s="96"/>
      <c r="K7" s="97"/>
    </row>
    <row r="8" spans="1:12" ht="20" customHeight="1">
      <c r="B8" s="110" t="s">
        <v>241</v>
      </c>
      <c r="C8" s="111"/>
      <c r="D8" s="111"/>
      <c r="E8" s="111"/>
      <c r="F8" s="111"/>
      <c r="G8" s="111"/>
      <c r="H8" s="111"/>
      <c r="I8" s="112"/>
      <c r="J8" s="21"/>
      <c r="K8" s="113"/>
    </row>
    <row r="9" spans="1:12" ht="20" customHeight="1">
      <c r="B9" s="98" t="s">
        <v>30</v>
      </c>
      <c r="C9" s="114">
        <f>model!F284</f>
        <v>482.25062500000001</v>
      </c>
      <c r="D9" s="114">
        <f>model!H284</f>
        <v>647.71195256250007</v>
      </c>
      <c r="E9" s="114">
        <f>model!I284</f>
        <v>664.37668602437498</v>
      </c>
      <c r="F9" s="114">
        <f>model!J284</f>
        <v>678.12151032925613</v>
      </c>
      <c r="G9" s="114">
        <f>model!K284</f>
        <v>689.57120009751236</v>
      </c>
      <c r="H9" s="114">
        <f>model!L284</f>
        <v>699.21955915318267</v>
      </c>
      <c r="I9" s="100"/>
      <c r="K9" s="101">
        <f>RATE(5,0,-C9,G9)*100</f>
        <v>7.4140923855350858</v>
      </c>
    </row>
    <row r="10" spans="1:12" ht="20" customHeight="1">
      <c r="B10" s="98" t="s">
        <v>33</v>
      </c>
      <c r="C10" s="114">
        <f>model!F289</f>
        <v>1444.5025000000001</v>
      </c>
      <c r="D10" s="114">
        <f>model!H289</f>
        <v>2081.7740102500002</v>
      </c>
      <c r="E10" s="114">
        <f>model!I289</f>
        <v>2138.3514680974999</v>
      </c>
      <c r="F10" s="114">
        <f>model!J289</f>
        <v>2183.0476597970246</v>
      </c>
      <c r="G10" s="114">
        <f>model!K289</f>
        <v>2218.3576512396494</v>
      </c>
      <c r="H10" s="114">
        <f>model!L289</f>
        <v>2246.2525444793228</v>
      </c>
      <c r="I10" s="100"/>
      <c r="K10" s="101">
        <f t="shared" ref="K10:K13" si="0">RATE(5,0,-C10,G10)*100</f>
        <v>8.958885817125708</v>
      </c>
    </row>
    <row r="11" spans="1:12" ht="20" customHeight="1">
      <c r="B11" s="98" t="s">
        <v>38</v>
      </c>
      <c r="C11" s="114">
        <f>model!F294</f>
        <v>2028.7531250000002</v>
      </c>
      <c r="D11" s="114">
        <f>model!H294</f>
        <v>2891.6567628124994</v>
      </c>
      <c r="E11" s="114">
        <f>model!I294</f>
        <v>2967.0213701218745</v>
      </c>
      <c r="F11" s="114">
        <f>model!J294</f>
        <v>3027.6272504462813</v>
      </c>
      <c r="G11" s="114">
        <f>model!K294</f>
        <v>3076.5950932635615</v>
      </c>
      <c r="H11" s="114">
        <f>model!L294</f>
        <v>3116.3906703974335</v>
      </c>
      <c r="I11" s="100"/>
      <c r="K11" s="101">
        <f t="shared" si="0"/>
        <v>8.6846542821573927</v>
      </c>
    </row>
    <row r="12" spans="1:12" ht="20" customHeight="1">
      <c r="B12" s="98" t="s">
        <v>41</v>
      </c>
      <c r="C12" s="114">
        <f>model!F305</f>
        <v>1575</v>
      </c>
      <c r="D12" s="114">
        <f>model!H305</f>
        <v>2336.4375</v>
      </c>
      <c r="E12" s="114">
        <f>model!I305</f>
        <v>2423.2593750000001</v>
      </c>
      <c r="F12" s="114">
        <f>model!J305</f>
        <v>2514.4223437500004</v>
      </c>
      <c r="G12" s="114">
        <f>model!K305</f>
        <v>2610.1434609375001</v>
      </c>
      <c r="H12" s="114">
        <f>model!L305</f>
        <v>2710.6506339843754</v>
      </c>
      <c r="I12" s="100"/>
      <c r="K12" s="101">
        <f t="shared" si="0"/>
        <v>10.630981140428119</v>
      </c>
    </row>
    <row r="13" spans="1:12" ht="20" customHeight="1">
      <c r="B13" s="98" t="s">
        <v>47</v>
      </c>
      <c r="C13" s="114">
        <f ca="1">model!F274</f>
        <v>168.38745245759586</v>
      </c>
      <c r="D13" s="114">
        <f ca="1">model!H274</f>
        <v>200.17396158755486</v>
      </c>
      <c r="E13" s="114">
        <f ca="1">model!I274</f>
        <v>219.98827944487002</v>
      </c>
      <c r="F13" s="114">
        <f ca="1">model!J274</f>
        <v>243.34382518592255</v>
      </c>
      <c r="G13" s="114">
        <f ca="1">model!K274</f>
        <v>267.1971543926573</v>
      </c>
      <c r="H13" s="114">
        <f ca="1">model!L274</f>
        <v>291.47773274594323</v>
      </c>
      <c r="I13" s="100"/>
      <c r="K13" s="101">
        <f t="shared" ca="1" si="0"/>
        <v>9.6741861678285765</v>
      </c>
    </row>
    <row r="14" spans="1:12" ht="5.25" customHeight="1">
      <c r="B14" s="98"/>
      <c r="C14" s="114"/>
      <c r="D14" s="114"/>
      <c r="E14" s="114"/>
      <c r="F14" s="114"/>
      <c r="G14" s="114"/>
      <c r="H14" s="114"/>
      <c r="I14" s="100"/>
      <c r="K14" s="101"/>
    </row>
    <row r="15" spans="1:12" ht="20" customHeight="1">
      <c r="B15" s="110" t="s">
        <v>251</v>
      </c>
      <c r="C15" s="111"/>
      <c r="D15" s="111"/>
      <c r="E15" s="111"/>
      <c r="F15" s="111"/>
      <c r="G15" s="111"/>
      <c r="H15" s="111"/>
      <c r="I15" s="112"/>
      <c r="J15" s="21"/>
      <c r="K15" s="111"/>
    </row>
    <row r="16" spans="1:12" ht="20" customHeight="1">
      <c r="B16" s="98" t="s">
        <v>249</v>
      </c>
      <c r="C16" s="99">
        <f ca="1">model!F319*100</f>
        <v>11.778022119367565</v>
      </c>
      <c r="D16" s="99">
        <f ca="1">model!G319*100</f>
        <v>8.6948499518947155</v>
      </c>
      <c r="E16" s="99">
        <f ca="1">model!H319*100</f>
        <v>9.2301910225174666</v>
      </c>
      <c r="F16" s="99">
        <f ca="1">model!I319*100</f>
        <v>9.9178586832991655</v>
      </c>
      <c r="G16" s="99">
        <f ca="1">model!J319*100</f>
        <v>10.78480384838044</v>
      </c>
      <c r="H16" s="99">
        <f ca="1">model!K319*100</f>
        <v>11.684967861949454</v>
      </c>
      <c r="I16" s="100"/>
      <c r="K16" s="101">
        <f ca="1">H16-C16</f>
        <v>-9.3054257418110353E-2</v>
      </c>
    </row>
    <row r="17" spans="2:11" ht="20" customHeight="1">
      <c r="B17" s="98" t="s">
        <v>250</v>
      </c>
      <c r="C17" s="99">
        <f ca="1">model!F320*100</f>
        <v>8.3000464858234473</v>
      </c>
      <c r="D17" s="99">
        <f ca="1">model!G320*100</f>
        <v>6.3400033599534389</v>
      </c>
      <c r="E17" s="99">
        <f ca="1">model!H320*100</f>
        <v>6.7273186384671853</v>
      </c>
      <c r="F17" s="99">
        <f ca="1">model!I320*100</f>
        <v>7.2252734897623903</v>
      </c>
      <c r="G17" s="99">
        <f ca="1">model!J320*100</f>
        <v>7.8533098947205362</v>
      </c>
      <c r="H17" s="99">
        <f ca="1">model!K320*100</f>
        <v>8.504911879183453</v>
      </c>
      <c r="I17" s="100"/>
      <c r="K17" s="101">
        <f ca="1">H17-C17</f>
        <v>0.20486539336000575</v>
      </c>
    </row>
    <row r="18" spans="2:11" ht="20" customHeight="1">
      <c r="B18" s="98" t="s">
        <v>253</v>
      </c>
      <c r="C18" s="114">
        <f>C10/C12*100</f>
        <v>91.714444444444439</v>
      </c>
      <c r="D18" s="114">
        <f t="shared" ref="D18:H18" si="1">D10/D12*100</f>
        <v>89.100350865366622</v>
      </c>
      <c r="E18" s="114">
        <f t="shared" si="1"/>
        <v>88.242781196193647</v>
      </c>
      <c r="F18" s="114">
        <f t="shared" si="1"/>
        <v>86.821041231332487</v>
      </c>
      <c r="G18" s="114">
        <f t="shared" si="1"/>
        <v>84.989874481568506</v>
      </c>
      <c r="H18" s="114">
        <f t="shared" si="1"/>
        <v>82.867652375310513</v>
      </c>
      <c r="I18" s="100"/>
      <c r="K18" s="101">
        <f>H18-C18</f>
        <v>-8.8467920691339259</v>
      </c>
    </row>
    <row r="19" spans="2:11" ht="5.25" customHeight="1">
      <c r="B19" s="98"/>
      <c r="C19" s="114"/>
      <c r="D19" s="114"/>
      <c r="E19" s="114"/>
      <c r="F19" s="114"/>
      <c r="G19" s="114"/>
      <c r="H19" s="114"/>
      <c r="I19" s="100"/>
      <c r="K19" s="101"/>
    </row>
    <row r="20" spans="2:11" ht="20" customHeight="1">
      <c r="B20" s="110" t="s">
        <v>252</v>
      </c>
      <c r="C20" s="111"/>
      <c r="D20" s="111"/>
      <c r="E20" s="111"/>
      <c r="F20" s="111"/>
      <c r="G20" s="111"/>
      <c r="H20" s="111"/>
      <c r="I20" s="112"/>
      <c r="J20" s="21"/>
      <c r="K20" s="113"/>
    </row>
    <row r="21" spans="2:11" ht="20" customHeight="1">
      <c r="B21" s="98" t="s">
        <v>26</v>
      </c>
      <c r="C21" s="114">
        <f ca="1">model!G252</f>
        <v>22.532121700595937</v>
      </c>
      <c r="D21" s="114">
        <f ca="1">model!H252</f>
        <v>26.370200037802537</v>
      </c>
      <c r="E21" s="114">
        <f ca="1">model!I252</f>
        <v>30.483565934331011</v>
      </c>
      <c r="F21" s="114">
        <f ca="1">model!J252</f>
        <v>35.931608832388505</v>
      </c>
      <c r="G21" s="114">
        <f ca="1">model!K252</f>
        <v>36.697429548822754</v>
      </c>
      <c r="H21" s="114">
        <f ca="1">model!L252</f>
        <v>37.35473592813225</v>
      </c>
      <c r="I21" s="100"/>
      <c r="K21" s="101">
        <f t="shared" ref="K21:K22" ca="1" si="2">RATE(5,0,-C21,G21)*100</f>
        <v>10.2469824791159</v>
      </c>
    </row>
    <row r="22" spans="2:11" ht="20" customHeight="1">
      <c r="B22" s="98" t="s">
        <v>69</v>
      </c>
      <c r="C22" s="114">
        <f ca="1">-(model!G270+model!G271)</f>
        <v>7.8862425952085777</v>
      </c>
      <c r="D22" s="114">
        <f ca="1">-(model!H270+model!H271)</f>
        <v>9.2295700132308873</v>
      </c>
      <c r="E22" s="114">
        <f ca="1">-(model!I270+model!I271)</f>
        <v>10.669248077015853</v>
      </c>
      <c r="F22" s="114">
        <f ca="1">-(model!J270+model!J271)</f>
        <v>12.576063091335978</v>
      </c>
      <c r="G22" s="114">
        <f ca="1">-(model!K270+model!K271)</f>
        <v>12.844100342087964</v>
      </c>
      <c r="H22" s="114">
        <f ca="1">-(model!L270+model!L271)</f>
        <v>13.074157574846287</v>
      </c>
      <c r="I22" s="100"/>
      <c r="K22" s="101">
        <f t="shared" ca="1" si="2"/>
        <v>10.246982479115889</v>
      </c>
    </row>
    <row r="23" spans="2:11" ht="20" customHeight="1">
      <c r="B23" s="98" t="s">
        <v>248</v>
      </c>
      <c r="C23" s="115">
        <f ca="1">model!G311*100</f>
        <v>3.4538543785471645</v>
      </c>
      <c r="D23" s="115">
        <f ca="1">model!H311*100</f>
        <v>3.4902087385088607</v>
      </c>
      <c r="E23" s="115">
        <f ca="1">model!I311*100</f>
        <v>3.5053030103307687</v>
      </c>
      <c r="F23" s="115">
        <f ca="1">model!J311*100</f>
        <v>3.5211119938561262</v>
      </c>
      <c r="G23" s="115">
        <f ca="1">model!K311*100</f>
        <v>3.5376984796275295</v>
      </c>
      <c r="H23" s="115">
        <f ca="1">model!L311*100</f>
        <v>3.5551107264682504</v>
      </c>
      <c r="I23" s="100"/>
      <c r="K23" s="101">
        <f ca="1">H23-C23</f>
        <v>0.10125634792108595</v>
      </c>
    </row>
    <row r="24" spans="2:11" ht="20" customHeight="1">
      <c r="B24" s="98" t="s">
        <v>247</v>
      </c>
      <c r="C24" s="99">
        <f ca="1">model!G312*100</f>
        <v>20</v>
      </c>
      <c r="D24" s="99">
        <f ca="1">model!H312*100</f>
        <v>18.934197487672058</v>
      </c>
      <c r="E24" s="99">
        <f ca="1">model!I312*100</f>
        <v>18.971039153596536</v>
      </c>
      <c r="F24" s="99">
        <f ca="1">model!J312*100</f>
        <v>18.999893181610069</v>
      </c>
      <c r="G24" s="99">
        <f ca="1">model!K312*100</f>
        <v>19.023057741529566</v>
      </c>
      <c r="H24" s="99">
        <f ca="1">model!L312*100</f>
        <v>19.04210086501628</v>
      </c>
      <c r="I24" s="100"/>
      <c r="K24" s="101">
        <f ca="1">H24-C24</f>
        <v>-0.95789913498371959</v>
      </c>
    </row>
    <row r="25" spans="2:11" ht="20" customHeight="1">
      <c r="B25" s="98" t="s">
        <v>246</v>
      </c>
      <c r="C25" s="99">
        <f ca="1">model!G313*100</f>
        <v>60</v>
      </c>
      <c r="D25" s="99">
        <f ca="1">model!H313*100</f>
        <v>53.205508983909375</v>
      </c>
      <c r="E25" s="99">
        <f ca="1">model!I313*100</f>
        <v>49.581771430164942</v>
      </c>
      <c r="F25" s="99">
        <f ca="1">model!J313*100</f>
        <v>55.499519317245316</v>
      </c>
      <c r="G25" s="99">
        <f ca="1">model!K313*100</f>
        <v>55.603759836883057</v>
      </c>
      <c r="H25" s="99">
        <f ca="1">model!L313*100</f>
        <v>55.689453892573262</v>
      </c>
      <c r="I25" s="100"/>
      <c r="K25" s="101">
        <f ca="1">H25-C25</f>
        <v>-4.3105461074267382</v>
      </c>
    </row>
    <row r="26" spans="2:11" ht="20" customHeight="1">
      <c r="B26" s="98" t="s">
        <v>245</v>
      </c>
      <c r="C26" s="115">
        <f ca="1">model!G314*100</f>
        <v>1.4677405677420015</v>
      </c>
      <c r="D26" s="115">
        <f ca="1">model!H314*100</f>
        <v>1.1679475423278305</v>
      </c>
      <c r="E26" s="115">
        <f ca="1">model!I314*100</f>
        <v>1.317125241861747</v>
      </c>
      <c r="F26" s="115">
        <f ca="1">model!J314*100</f>
        <v>1.5231081546441803</v>
      </c>
      <c r="G26" s="115">
        <f ca="1">model!K314*100</f>
        <v>1.5326308170550453</v>
      </c>
      <c r="H26" s="115">
        <f ca="1">model!L314*100</f>
        <v>1.5421168595668424</v>
      </c>
      <c r="I26" s="100"/>
      <c r="K26" s="101">
        <f ca="1">H26-C26</f>
        <v>7.4376291824840957E-2</v>
      </c>
    </row>
    <row r="27" spans="2:11" ht="20" customHeight="1">
      <c r="B27" s="117" t="s">
        <v>244</v>
      </c>
      <c r="C27" s="102">
        <f ca="1">model!G316*100</f>
        <v>12.731211183340966</v>
      </c>
      <c r="D27" s="102">
        <f ca="1">model!H316*100</f>
        <v>13.584206618361694</v>
      </c>
      <c r="E27" s="102">
        <f ca="1">model!I316*100</f>
        <v>14.248766519685111</v>
      </c>
      <c r="F27" s="102">
        <f ca="1">model!J316*100</f>
        <v>15.142243505171557</v>
      </c>
      <c r="G27" s="102">
        <f ca="1">model!K316*100</f>
        <v>14.052394954932193</v>
      </c>
      <c r="H27" s="102">
        <f ca="1">model!L316*100</f>
        <v>13.087283274390643</v>
      </c>
      <c r="I27" s="118"/>
      <c r="J27" s="35"/>
      <c r="K27" s="119">
        <f ca="1">H27-C27</f>
        <v>0.3560720910496773</v>
      </c>
    </row>
    <row r="28" spans="2:11" ht="18" customHeight="1">
      <c r="B28" s="109"/>
      <c r="C28" s="99"/>
      <c r="D28" s="99"/>
      <c r="E28" s="99"/>
      <c r="F28" s="99"/>
      <c r="G28" s="99"/>
      <c r="H28" s="99"/>
      <c r="K28" s="10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"/>
  <sheetViews>
    <sheetView showGridLines="0" zoomScale="85" zoomScaleNormal="85" workbookViewId="0">
      <selection activeCell="B1" sqref="B1"/>
    </sheetView>
  </sheetViews>
  <sheetFormatPr baseColWidth="10" defaultColWidth="8.83203125" defaultRowHeight="15"/>
  <cols>
    <col min="1" max="1" width="1.33203125" customWidth="1"/>
    <col min="2" max="2" width="31.1640625" customWidth="1"/>
    <col min="3" max="8" width="8.33203125" customWidth="1"/>
    <col min="9" max="10" width="0.6640625" customWidth="1"/>
    <col min="11" max="11" width="6.6640625" customWidth="1"/>
    <col min="12" max="12" width="8.5" customWidth="1"/>
  </cols>
  <sheetData>
    <row r="1" spans="2:10" s="1" customFormat="1" ht="21" thickBot="1">
      <c r="B1" s="1" t="s">
        <v>0</v>
      </c>
      <c r="J1"/>
    </row>
    <row r="2" spans="2:10" ht="16" thickTop="1">
      <c r="B2" s="27" t="s">
        <v>223</v>
      </c>
    </row>
    <row r="4" spans="2:10">
      <c r="B4" s="4" t="s">
        <v>254</v>
      </c>
    </row>
    <row r="6" spans="2:10">
      <c r="B6" t="s">
        <v>255</v>
      </c>
      <c r="D6" s="121">
        <v>0</v>
      </c>
      <c r="E6" s="121">
        <f>F6-D6</f>
        <v>10.571286082267761</v>
      </c>
      <c r="F6" s="121">
        <f>G6*100</f>
        <v>10.571286082267761</v>
      </c>
      <c r="G6" s="121">
        <f>model!F376</f>
        <v>0.10571286082267761</v>
      </c>
    </row>
    <row r="7" spans="2:10" ht="32">
      <c r="B7" s="122" t="s">
        <v>256</v>
      </c>
      <c r="D7" s="121">
        <f>F6</f>
        <v>10.571286082267761</v>
      </c>
      <c r="E7" s="121">
        <f>F7-D7</f>
        <v>2.7747046947479284</v>
      </c>
      <c r="F7" s="121">
        <f>model!F378*100</f>
        <v>13.34599077701569</v>
      </c>
      <c r="G7" s="121"/>
    </row>
    <row r="8" spans="2:10" ht="32">
      <c r="B8" s="122" t="s">
        <v>259</v>
      </c>
      <c r="D8" s="121">
        <v>0</v>
      </c>
      <c r="E8" s="121">
        <f>F7</f>
        <v>13.34599077701569</v>
      </c>
      <c r="F8" s="121"/>
      <c r="G8" s="121"/>
    </row>
    <row r="9" spans="2:10" ht="32">
      <c r="B9" s="122" t="s">
        <v>258</v>
      </c>
      <c r="D9" s="121">
        <f>E8</f>
        <v>13.34599077701569</v>
      </c>
      <c r="E9" s="121">
        <f>F9-D9</f>
        <v>7.2391939163208008</v>
      </c>
      <c r="F9" s="121">
        <f>model!M378*100</f>
        <v>20.58518469333649</v>
      </c>
      <c r="G9" s="121"/>
    </row>
    <row r="10" spans="2:10" ht="32">
      <c r="B10" s="122" t="s">
        <v>257</v>
      </c>
      <c r="D10" s="121">
        <v>0</v>
      </c>
      <c r="E10" s="121">
        <f>F9</f>
        <v>20.58518469333649</v>
      </c>
      <c r="F10" s="121"/>
      <c r="G10" s="12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model</vt:lpstr>
      <vt:lpstr>loan</vt:lpstr>
      <vt:lpstr>pres output</vt:lpstr>
      <vt:lpstr>chart output</vt:lpstr>
      <vt:lpstr>loan!Print_Area</vt:lpstr>
      <vt:lpstr>model!Print_Area</vt:lpstr>
      <vt:lpstr>loan!Print_Titles</vt:lpstr>
      <vt:lpstr>model!Print_Titles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Nigel Glenday</dc:creator>
  <cp:lastModifiedBy>Nigel Glenday</cp:lastModifiedBy>
  <cp:lastPrinted>2013-03-06T19:43:13Z</cp:lastPrinted>
  <dcterms:created xsi:type="dcterms:W3CDTF">2013-02-20T15:41:57Z</dcterms:created>
  <dcterms:modified xsi:type="dcterms:W3CDTF">2026-07-09T16:23:47Z</dcterms:modified>
</cp:coreProperties>
</file>